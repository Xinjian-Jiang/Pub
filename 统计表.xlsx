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原始统计数据" sheetId="1" state="visible" r:id="rId1"/>
    <sheet xmlns:r="http://schemas.openxmlformats.org/officeDocument/2006/relationships" name="转职属性" sheetId="2" state="visible" r:id="rId2"/>
    <sheet xmlns:r="http://schemas.openxmlformats.org/officeDocument/2006/relationships" name="复合" sheetId="3" state="visible" r:id="rId3"/>
    <sheet xmlns:r="http://schemas.openxmlformats.org/officeDocument/2006/relationships" name="Sheet1" sheetId="4" state="visible" r:id="rId4"/>
  </sheets>
  <definedNames>
    <definedName name="_xlnm._FilterDatabase" localSheetId="0" hidden="1">'原始统计数据'!$A$1:$R$3040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等线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theme="0"/>
      <sz val="11"/>
    </font>
    <font>
      <name val="等线"/>
      <charset val="134"/>
      <family val="3"/>
      <b val="1"/>
      <color theme="0"/>
      <sz val="11"/>
    </font>
    <font>
      <name val="Noto Sans CJK SC"/>
      <family val="2"/>
      <b val="1"/>
      <color theme="0"/>
      <sz val="11"/>
    </font>
    <font>
      <name val="Noto Sans CJK SC"/>
      <charset val="1"/>
      <family val="2"/>
      <color theme="1"/>
      <sz val="11"/>
    </font>
    <font>
      <name val="等线"/>
      <charset val="134"/>
      <family val="3"/>
      <b val="1"/>
      <color theme="1"/>
      <sz val="11"/>
    </font>
    <font>
      <name val="Noto Sans CJK SC"/>
      <family val="2"/>
      <b val="1"/>
      <color theme="1"/>
      <sz val="11"/>
    </font>
    <font>
      <name val="Noto Sans CJK SC"/>
      <charset val="1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1"/>
        <bgColor rgb="FF003300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/>
      <top/>
      <bottom style="thin"/>
      <diagonal/>
    </border>
    <border>
      <left/>
      <right/>
      <top/>
      <bottom style="thin"/>
      <diagonal/>
    </border>
    <border>
      <left/>
      <right style="thin"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10" fillId="0" borderId="3" applyAlignment="1" pivotButton="0" quotePrefix="0" xfId="0">
      <alignment horizontal="center" vertical="bottom"/>
    </xf>
    <xf numFmtId="0" fontId="1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0" fillId="0" borderId="2" pivotButton="0" quotePrefix="0" xfId="0"/>
    <xf numFmtId="0" fontId="10" fillId="0" borderId="3" applyAlignment="1" pivotButton="0" quotePrefix="0" xfId="0">
      <alignment horizontal="center" vertical="bottom"/>
    </xf>
    <xf numFmtId="0" fontId="10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7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R4" activeCellId="0" sqref="R4"/>
    </sheetView>
  </sheetViews>
  <sheetFormatPr baseColWidth="8" defaultColWidth="8.890625" defaultRowHeight="13.5" zeroHeight="0" outlineLevelRow="0"/>
  <cols>
    <col width="8.890000000000001" customWidth="1" style="14" min="1" max="16384"/>
  </cols>
  <sheetData>
    <row r="1" ht="16.5" customFormat="1" customHeight="1" s="15">
      <c r="A1" s="16" t="inlineStr">
        <is>
          <t>模型</t>
        </is>
      </c>
      <c r="B1" s="16" t="inlineStr">
        <is>
          <t>转职</t>
        </is>
      </c>
      <c r="C1" s="15" t="inlineStr">
        <is>
          <t>1星1级</t>
        </is>
      </c>
      <c r="D1" s="17" t="n"/>
      <c r="E1" s="17" t="n"/>
      <c r="F1" s="17" t="n"/>
      <c r="G1" s="17" t="n"/>
      <c r="H1" s="17" t="n"/>
      <c r="I1" s="17" t="n"/>
      <c r="J1" s="18" t="n"/>
      <c r="K1" s="15" t="inlineStr">
        <is>
          <t>4星50级</t>
        </is>
      </c>
      <c r="L1" s="17" t="n"/>
      <c r="M1" s="17" t="n"/>
      <c r="N1" s="17" t="n"/>
      <c r="O1" s="17" t="n"/>
      <c r="P1" s="17" t="n"/>
      <c r="Q1" s="17" t="n"/>
      <c r="R1" s="18" t="n"/>
    </row>
    <row r="2" ht="13.5" customFormat="1" customHeight="1" s="15">
      <c r="A2" s="19" t="n"/>
      <c r="B2" s="19" t="n"/>
    </row>
    <row r="3" ht="13.5" customHeight="1" s="20">
      <c r="A3" s="21" t="inlineStr">
        <is>
          <t>模型占位</t>
        </is>
      </c>
    </row>
    <row r="4" ht="13.5" customHeight="1" s="20">
      <c r="A4" s="30" t="inlineStr">
        <is>
          <t>怪盗</t>
        </is>
      </c>
      <c r="B4" s="30" t="inlineStr">
        <is>
          <t>夜魇</t>
        </is>
      </c>
      <c r="C4" s="30" t="n">
        <v>11</v>
      </c>
      <c r="D4" s="30" t="n">
        <v>8</v>
      </c>
      <c r="E4" s="30" t="n">
        <v>14</v>
      </c>
      <c r="F4" s="30" t="n">
        <v>13</v>
      </c>
      <c r="G4" s="30" t="n">
        <v>7</v>
      </c>
      <c r="H4" s="30" t="n">
        <v>2</v>
      </c>
      <c r="I4" s="30" t="n">
        <v>2</v>
      </c>
      <c r="J4" s="30" t="n">
        <v>77</v>
      </c>
      <c r="K4" s="30" t="n">
        <v>186</v>
      </c>
      <c r="L4" s="30" t="n">
        <v>60</v>
      </c>
      <c r="M4" s="30" t="n">
        <v>286</v>
      </c>
      <c r="N4" s="30" t="n">
        <v>282</v>
      </c>
      <c r="O4" s="30" t="n">
        <v>150</v>
      </c>
      <c r="P4" s="30" t="n">
        <v>5</v>
      </c>
      <c r="Q4" s="30" t="n">
        <v>5</v>
      </c>
      <c r="R4" s="30" t="n">
        <v>1350</v>
      </c>
    </row>
    <row r="5" ht="13.5" customHeight="1" s="20">
      <c r="A5" s="30" t="inlineStr">
        <is>
          <t>火枪手</t>
        </is>
      </c>
      <c r="B5" s="30" t="inlineStr">
        <is>
          <t>圣枪侠</t>
        </is>
      </c>
      <c r="C5" s="30" t="n">
        <v>10</v>
      </c>
      <c r="D5" s="30" t="n">
        <v>9</v>
      </c>
      <c r="E5" s="30" t="n">
        <v>13</v>
      </c>
      <c r="F5" s="30" t="n">
        <v>10</v>
      </c>
      <c r="G5" s="30" t="n">
        <v>7</v>
      </c>
      <c r="H5" s="30" t="n">
        <v>2</v>
      </c>
      <c r="I5" s="30" t="n">
        <v>1</v>
      </c>
      <c r="J5" s="30" t="n">
        <v>68</v>
      </c>
      <c r="K5" s="30" t="n">
        <v>248</v>
      </c>
      <c r="L5" s="30" t="n">
        <v>99</v>
      </c>
      <c r="M5" s="30" t="n">
        <v>312</v>
      </c>
      <c r="N5" s="30" t="n">
        <v>174</v>
      </c>
      <c r="O5" s="30" t="n">
        <v>133</v>
      </c>
      <c r="P5" s="30" t="n">
        <v>4</v>
      </c>
      <c r="Q5" s="30" t="n">
        <v>3</v>
      </c>
      <c r="R5" s="30" t="n">
        <v>1310</v>
      </c>
    </row>
    <row r="6" ht="13.5" customHeight="1" s="20">
      <c r="A6" s="30" t="inlineStr">
        <is>
          <t>法师</t>
        </is>
      </c>
      <c r="B6" s="30" t="inlineStr">
        <is>
          <t>霜寒法师</t>
        </is>
      </c>
      <c r="C6" s="30" t="n">
        <v>6</v>
      </c>
      <c r="D6" s="30" t="n">
        <v>8</v>
      </c>
      <c r="E6" s="30" t="n">
        <v>9</v>
      </c>
      <c r="F6" s="30" t="n">
        <v>6</v>
      </c>
      <c r="G6" s="30" t="n">
        <v>5</v>
      </c>
      <c r="H6" s="30" t="n">
        <v>1</v>
      </c>
      <c r="I6" s="30" t="n">
        <v>1</v>
      </c>
      <c r="J6" s="30" t="n">
        <v>47</v>
      </c>
      <c r="K6" s="30" t="n">
        <v>59</v>
      </c>
      <c r="L6" s="30" t="n">
        <v>328</v>
      </c>
      <c r="M6" s="30" t="n">
        <v>237</v>
      </c>
      <c r="N6" s="30" t="n">
        <v>186</v>
      </c>
      <c r="O6" s="30" t="n">
        <v>135</v>
      </c>
      <c r="P6" s="30" t="n">
        <v>2</v>
      </c>
      <c r="Q6" s="30" t="n">
        <v>9</v>
      </c>
      <c r="R6" s="30" t="n">
        <v>1328</v>
      </c>
    </row>
    <row r="7" ht="13.5" customHeight="1" s="20">
      <c r="A7" s="30" t="inlineStr">
        <is>
          <t>圣骑士</t>
        </is>
      </c>
      <c r="B7" s="30" t="inlineStr">
        <is>
          <t>圣殿骑士</t>
        </is>
      </c>
      <c r="C7" s="30" t="n">
        <v>12</v>
      </c>
      <c r="D7" s="30" t="n">
        <v>11</v>
      </c>
      <c r="E7" s="30" t="n">
        <v>10</v>
      </c>
      <c r="F7" s="30" t="n">
        <v>12</v>
      </c>
      <c r="G7" s="30" t="n">
        <v>7</v>
      </c>
      <c r="H7" s="30" t="n">
        <v>2</v>
      </c>
      <c r="I7" s="30" t="n">
        <v>2</v>
      </c>
      <c r="J7" s="30" t="n">
        <v>76</v>
      </c>
      <c r="K7" s="30" t="n">
        <v>167</v>
      </c>
      <c r="L7" s="30" t="n">
        <v>268</v>
      </c>
      <c r="M7" s="30" t="n">
        <v>161</v>
      </c>
      <c r="N7" s="30" t="n">
        <v>100</v>
      </c>
      <c r="O7" s="30" t="n">
        <v>254</v>
      </c>
      <c r="P7" s="30" t="n">
        <v>6</v>
      </c>
      <c r="Q7" s="30" t="n">
        <v>14</v>
      </c>
      <c r="R7" s="30" t="n">
        <v>1316</v>
      </c>
    </row>
    <row r="8">
      <c r="A8" s="30" t="inlineStr">
        <is>
          <t>神官</t>
        </is>
      </c>
      <c r="B8" s="30" t="inlineStr">
        <is>
          <t>神官骑士</t>
        </is>
      </c>
      <c r="C8" s="30" t="n">
        <v>13</v>
      </c>
      <c r="D8" s="30" t="n">
        <v>14</v>
      </c>
      <c r="E8" s="30" t="n">
        <v>10</v>
      </c>
      <c r="F8" s="30" t="n">
        <v>10</v>
      </c>
      <c r="G8" s="30" t="n">
        <v>5</v>
      </c>
      <c r="H8" s="30" t="n">
        <v>1</v>
      </c>
      <c r="I8" s="30" t="n">
        <v>3</v>
      </c>
      <c r="J8" s="30" t="n">
        <v>76</v>
      </c>
      <c r="K8" s="30" t="n">
        <v>137</v>
      </c>
      <c r="L8" s="30" t="n">
        <v>322</v>
      </c>
      <c r="M8" s="30" t="n">
        <v>151</v>
      </c>
      <c r="N8" s="30" t="n">
        <v>99</v>
      </c>
      <c r="O8" s="30" t="n">
        <v>246</v>
      </c>
      <c r="P8" s="30" t="n">
        <v>5</v>
      </c>
      <c r="Q8" s="30" t="n">
        <v>15</v>
      </c>
      <c r="R8" s="30" t="n">
        <v>1361</v>
      </c>
    </row>
    <row r="9">
      <c r="A9" s="30" t="inlineStr">
        <is>
          <t>火枪手</t>
        </is>
      </c>
      <c r="B9" s="30" t="inlineStr">
        <is>
          <t>圣枪侠</t>
        </is>
      </c>
      <c r="C9" s="30" t="n">
        <v>11</v>
      </c>
      <c r="D9" s="30" t="n">
        <v>10</v>
      </c>
      <c r="E9" s="30" t="n">
        <v>13</v>
      </c>
      <c r="F9" s="30" t="n">
        <v>14</v>
      </c>
      <c r="G9" s="30" t="n">
        <v>10</v>
      </c>
      <c r="H9" s="30" t="n">
        <v>2</v>
      </c>
      <c r="I9" s="30" t="n">
        <v>2</v>
      </c>
      <c r="J9" s="30" t="n">
        <v>81</v>
      </c>
      <c r="K9" s="30" t="n">
        <v>203</v>
      </c>
      <c r="L9" s="30" t="n">
        <v>108</v>
      </c>
      <c r="M9" s="30" t="n">
        <v>272</v>
      </c>
      <c r="N9" s="30" t="n">
        <v>193</v>
      </c>
      <c r="O9" s="30" t="n">
        <v>132</v>
      </c>
      <c r="P9" s="30" t="n">
        <v>4</v>
      </c>
      <c r="Q9" s="30" t="n">
        <v>4</v>
      </c>
      <c r="R9" s="30" t="n">
        <v>1213</v>
      </c>
    </row>
    <row r="10">
      <c r="A10" s="30" t="inlineStr">
        <is>
          <t>女巫</t>
        </is>
      </c>
      <c r="B10" s="30" t="inlineStr">
        <is>
          <t>灵魂贤者</t>
        </is>
      </c>
      <c r="C10" s="30" t="n">
        <v>8</v>
      </c>
      <c r="D10" s="30" t="n">
        <v>11</v>
      </c>
      <c r="E10" s="30" t="n">
        <v>11</v>
      </c>
      <c r="F10" s="30" t="n">
        <v>12</v>
      </c>
      <c r="G10" s="30" t="n">
        <v>7</v>
      </c>
      <c r="H10" s="30" t="n">
        <v>1</v>
      </c>
      <c r="I10" s="30" t="n">
        <v>3</v>
      </c>
      <c r="J10" s="30" t="n">
        <v>69</v>
      </c>
      <c r="K10" s="30" t="n">
        <v>64</v>
      </c>
      <c r="L10" s="30" t="n">
        <v>303</v>
      </c>
      <c r="M10" s="30" t="n">
        <v>273</v>
      </c>
      <c r="N10" s="30" t="n">
        <v>191</v>
      </c>
      <c r="O10" s="30" t="n">
        <v>148</v>
      </c>
      <c r="P10" s="30" t="n">
        <v>4</v>
      </c>
      <c r="Q10" s="30" t="n">
        <v>12</v>
      </c>
      <c r="R10" s="30" t="n">
        <v>1372</v>
      </c>
    </row>
    <row r="11">
      <c r="A11" s="30" t="inlineStr">
        <is>
          <t>神官</t>
        </is>
      </c>
      <c r="B11" s="30" t="inlineStr">
        <is>
          <t>神官骑士</t>
        </is>
      </c>
      <c r="C11" s="30" t="n">
        <v>10</v>
      </c>
      <c r="D11" s="30" t="n">
        <v>14</v>
      </c>
      <c r="E11" s="30" t="n">
        <v>11</v>
      </c>
      <c r="F11" s="30" t="n">
        <v>11</v>
      </c>
      <c r="G11" s="30" t="n">
        <v>6</v>
      </c>
      <c r="H11" s="30" t="n">
        <v>1</v>
      </c>
      <c r="I11" s="30" t="n">
        <v>3</v>
      </c>
      <c r="J11" s="30" t="n">
        <v>77</v>
      </c>
      <c r="K11" s="30" t="n">
        <v>134</v>
      </c>
      <c r="L11" s="30" t="n">
        <v>282</v>
      </c>
      <c r="M11" s="30" t="n">
        <v>195</v>
      </c>
      <c r="N11" s="30" t="n">
        <v>95</v>
      </c>
      <c r="O11" s="30" t="n">
        <v>190</v>
      </c>
      <c r="P11" s="30" t="n">
        <v>5</v>
      </c>
      <c r="Q11" s="30" t="n">
        <v>15</v>
      </c>
      <c r="R11" s="30" t="n">
        <v>1252</v>
      </c>
    </row>
    <row r="12">
      <c r="A12" s="30" t="inlineStr">
        <is>
          <t>女剑士</t>
        </is>
      </c>
      <c r="B12" s="30" t="inlineStr">
        <is>
          <t>黑骑士</t>
        </is>
      </c>
      <c r="C12" s="30" t="n">
        <v>14</v>
      </c>
      <c r="D12" s="30" t="n">
        <v>10</v>
      </c>
      <c r="E12" s="30" t="n">
        <v>12</v>
      </c>
      <c r="F12" s="30" t="n">
        <v>10</v>
      </c>
      <c r="G12" s="30" t="n">
        <v>16</v>
      </c>
      <c r="H12" s="30" t="n">
        <v>2</v>
      </c>
      <c r="I12" s="30" t="n">
        <v>2</v>
      </c>
      <c r="J12" s="30" t="n">
        <v>88</v>
      </c>
      <c r="K12" s="30" t="n">
        <v>252</v>
      </c>
      <c r="L12" s="30" t="n">
        <v>57</v>
      </c>
      <c r="M12" s="30" t="n">
        <v>182</v>
      </c>
      <c r="N12" s="30" t="n">
        <v>218</v>
      </c>
      <c r="O12" s="30" t="n">
        <v>255</v>
      </c>
      <c r="P12" s="30" t="n">
        <v>14</v>
      </c>
      <c r="Q12" s="30" t="n">
        <v>6</v>
      </c>
      <c r="R12" s="30" t="n">
        <v>1389</v>
      </c>
    </row>
    <row r="13">
      <c r="A13" s="30" t="inlineStr">
        <is>
          <t>野蛮人</t>
        </is>
      </c>
      <c r="B13" s="30" t="inlineStr">
        <is>
          <t>狂战神</t>
        </is>
      </c>
      <c r="C13" s="30" t="n">
        <v>16</v>
      </c>
      <c r="D13" s="30" t="n">
        <v>8</v>
      </c>
      <c r="E13" s="30" t="n">
        <v>11</v>
      </c>
      <c r="F13" s="30" t="n">
        <v>11</v>
      </c>
      <c r="G13" s="30" t="n">
        <v>16</v>
      </c>
      <c r="H13" s="30" t="n">
        <v>3</v>
      </c>
      <c r="I13" s="30" t="n">
        <v>4</v>
      </c>
      <c r="J13" s="30" t="n">
        <v>97</v>
      </c>
      <c r="K13" s="30" t="n">
        <v>304</v>
      </c>
      <c r="L13" s="30" t="n">
        <v>62</v>
      </c>
      <c r="M13" s="30" t="n">
        <v>188</v>
      </c>
      <c r="N13" s="30" t="n">
        <v>218</v>
      </c>
      <c r="O13" s="30" t="n">
        <v>219</v>
      </c>
      <c r="P13" s="30" t="n">
        <v>9</v>
      </c>
      <c r="Q13" s="30" t="n">
        <v>5</v>
      </c>
      <c r="R13" s="30" t="n">
        <v>1410</v>
      </c>
    </row>
    <row r="14">
      <c r="A14" s="30" t="inlineStr">
        <is>
          <t>女巫</t>
        </is>
      </c>
      <c r="B14" s="30" t="inlineStr">
        <is>
          <t>灵魂贤者</t>
        </is>
      </c>
      <c r="C14" s="30" t="n">
        <v>8</v>
      </c>
      <c r="D14" s="30" t="n">
        <v>13</v>
      </c>
      <c r="E14" s="30" t="n">
        <v>13</v>
      </c>
      <c r="F14" s="30" t="n">
        <v>11</v>
      </c>
      <c r="G14" s="30" t="n">
        <v>8</v>
      </c>
      <c r="H14" s="30" t="n">
        <v>2</v>
      </c>
      <c r="I14" s="30" t="n">
        <v>3</v>
      </c>
      <c r="J14" s="30" t="n">
        <v>79</v>
      </c>
      <c r="K14" s="30" t="n">
        <v>51</v>
      </c>
      <c r="L14" s="30" t="n">
        <v>282</v>
      </c>
      <c r="M14" s="30" t="n">
        <v>234</v>
      </c>
      <c r="N14" s="30" t="n">
        <v>157</v>
      </c>
      <c r="O14" s="30" t="n">
        <v>136</v>
      </c>
      <c r="P14" s="30" t="n">
        <v>5</v>
      </c>
      <c r="Q14" s="30" t="n">
        <v>12</v>
      </c>
      <c r="R14" s="30" t="n">
        <v>1223</v>
      </c>
    </row>
    <row r="15">
      <c r="A15" s="30" t="inlineStr">
        <is>
          <t>潜行者</t>
        </is>
      </c>
      <c r="B15" s="30" t="inlineStr">
        <is>
          <t>夜魇</t>
        </is>
      </c>
      <c r="C15" s="30" t="n">
        <v>12</v>
      </c>
      <c r="D15" s="30" t="n">
        <v>9</v>
      </c>
      <c r="E15" s="30" t="n">
        <v>13</v>
      </c>
      <c r="F15" s="30" t="n">
        <v>13</v>
      </c>
      <c r="G15" s="30" t="n">
        <v>9</v>
      </c>
      <c r="H15" s="30" t="n">
        <v>2</v>
      </c>
      <c r="I15" s="30" t="n">
        <v>2</v>
      </c>
      <c r="J15" s="30" t="n">
        <v>80</v>
      </c>
      <c r="K15" s="30" t="n">
        <v>181</v>
      </c>
      <c r="L15" s="30" t="n">
        <v>45</v>
      </c>
      <c r="M15" s="30" t="n">
        <v>268</v>
      </c>
      <c r="N15" s="30" t="n">
        <v>295</v>
      </c>
      <c r="O15" s="30" t="n">
        <v>142</v>
      </c>
      <c r="P15" s="30" t="n">
        <v>5</v>
      </c>
      <c r="Q15" s="30" t="n">
        <v>5</v>
      </c>
      <c r="R15" s="30" t="n">
        <v>1318</v>
      </c>
    </row>
    <row r="16">
      <c r="A16" s="30" t="inlineStr">
        <is>
          <t>矮人战士</t>
        </is>
      </c>
      <c r="B16" s="30" t="inlineStr">
        <is>
          <t>狂战神</t>
        </is>
      </c>
      <c r="C16" s="30" t="n">
        <v>14</v>
      </c>
      <c r="D16" s="30" t="n">
        <v>8</v>
      </c>
      <c r="E16" s="30" t="n">
        <v>12</v>
      </c>
      <c r="F16" s="30" t="n">
        <v>11</v>
      </c>
      <c r="G16" s="30" t="n">
        <v>16</v>
      </c>
      <c r="H16" s="30" t="n">
        <v>5</v>
      </c>
      <c r="I16" s="30" t="n">
        <v>2</v>
      </c>
      <c r="J16" s="30" t="n">
        <v>98</v>
      </c>
      <c r="K16" s="30" t="n">
        <v>299</v>
      </c>
      <c r="L16" s="30" t="n">
        <v>62</v>
      </c>
      <c r="M16" s="30" t="n">
        <v>128</v>
      </c>
      <c r="N16" s="30" t="n">
        <v>201</v>
      </c>
      <c r="O16" s="30" t="n">
        <v>244</v>
      </c>
      <c r="P16" s="30" t="n">
        <v>11</v>
      </c>
      <c r="Q16" s="30" t="n">
        <v>3</v>
      </c>
      <c r="R16" s="30" t="n">
        <v>1336</v>
      </c>
    </row>
    <row r="17">
      <c r="A17" s="30" t="inlineStr">
        <is>
          <t>剑士</t>
        </is>
      </c>
      <c r="B17" s="30" t="inlineStr">
        <is>
          <t>剑豪</t>
        </is>
      </c>
      <c r="C17" s="30" t="n">
        <v>15</v>
      </c>
      <c r="D17" s="30" t="n">
        <v>11</v>
      </c>
      <c r="E17" s="30" t="n">
        <v>10</v>
      </c>
      <c r="F17" s="30" t="n">
        <v>11</v>
      </c>
      <c r="G17" s="30" t="n">
        <v>16</v>
      </c>
      <c r="H17" s="30" t="n">
        <v>4</v>
      </c>
      <c r="I17" s="30" t="n">
        <v>2</v>
      </c>
      <c r="J17" s="30" t="n">
        <v>94</v>
      </c>
      <c r="K17" s="30" t="n">
        <v>286</v>
      </c>
      <c r="L17" s="30" t="n">
        <v>66</v>
      </c>
      <c r="M17" s="30" t="n">
        <v>173</v>
      </c>
      <c r="N17" s="30" t="n">
        <v>228</v>
      </c>
      <c r="O17" s="30" t="n">
        <v>238</v>
      </c>
      <c r="P17" s="30" t="n">
        <v>11</v>
      </c>
      <c r="Q17" s="30" t="n">
        <v>2</v>
      </c>
      <c r="R17" s="30" t="n">
        <v>1403</v>
      </c>
    </row>
    <row r="18">
      <c r="A18" s="30" t="inlineStr">
        <is>
          <t>战士</t>
        </is>
      </c>
      <c r="B18" s="30" t="inlineStr">
        <is>
          <t>剑豪</t>
        </is>
      </c>
      <c r="C18" s="30" t="n">
        <v>14</v>
      </c>
      <c r="D18" s="30" t="n">
        <v>4</v>
      </c>
      <c r="E18" s="30" t="n">
        <v>12</v>
      </c>
      <c r="F18" s="30" t="n">
        <v>5</v>
      </c>
      <c r="G18" s="30" t="n">
        <v>19</v>
      </c>
      <c r="H18" s="30" t="n">
        <v>9</v>
      </c>
      <c r="I18" s="30" t="n">
        <v>1</v>
      </c>
      <c r="J18" s="30" t="n">
        <v>104</v>
      </c>
      <c r="K18" s="30" t="n">
        <v>279</v>
      </c>
      <c r="L18" s="30" t="n">
        <v>59</v>
      </c>
      <c r="M18" s="30" t="n">
        <v>175</v>
      </c>
      <c r="N18" s="30" t="n">
        <v>174</v>
      </c>
      <c r="O18" s="30" t="n">
        <v>257</v>
      </c>
      <c r="P18" s="30" t="n">
        <v>16</v>
      </c>
      <c r="Q18" s="30" t="n">
        <v>1</v>
      </c>
      <c r="R18" s="30" t="n">
        <v>1364</v>
      </c>
    </row>
    <row r="19">
      <c r="A19" s="30" t="inlineStr">
        <is>
          <t>怪盗</t>
        </is>
      </c>
      <c r="B19" s="30" t="inlineStr">
        <is>
          <t>夜魇</t>
        </is>
      </c>
      <c r="C19" s="30" t="n">
        <v>10</v>
      </c>
      <c r="D19" s="30" t="n">
        <v>5</v>
      </c>
      <c r="E19" s="30" t="n">
        <v>13</v>
      </c>
      <c r="F19" s="30" t="n">
        <v>18</v>
      </c>
      <c r="G19" s="30" t="n">
        <v>7</v>
      </c>
      <c r="H19" s="30" t="n">
        <v>2</v>
      </c>
      <c r="I19" s="30" t="n">
        <v>1</v>
      </c>
      <c r="J19" s="30" t="n">
        <v>78</v>
      </c>
      <c r="K19" s="30" t="n">
        <v>181</v>
      </c>
      <c r="L19" s="30" t="n">
        <v>55</v>
      </c>
      <c r="M19" s="30" t="n">
        <v>287</v>
      </c>
      <c r="N19" s="30" t="n">
        <v>297</v>
      </c>
      <c r="O19" s="30" t="n">
        <v>150</v>
      </c>
      <c r="P19" s="30" t="n">
        <v>5</v>
      </c>
      <c r="Q19" s="30" t="n">
        <v>4</v>
      </c>
      <c r="R19" s="30" t="n">
        <v>1362</v>
      </c>
    </row>
    <row r="20">
      <c r="A20" s="30" t="inlineStr">
        <is>
          <t>亚马逊</t>
        </is>
      </c>
      <c r="B20" s="30" t="inlineStr">
        <is>
          <t>蛮荒之王</t>
        </is>
      </c>
      <c r="C20" s="30" t="n">
        <v>16</v>
      </c>
      <c r="D20" s="30" t="n">
        <v>10</v>
      </c>
      <c r="E20" s="30" t="n">
        <v>12</v>
      </c>
      <c r="F20" s="30" t="n">
        <v>12</v>
      </c>
      <c r="G20" s="30" t="n">
        <v>15</v>
      </c>
      <c r="H20" s="30" t="n">
        <v>2</v>
      </c>
      <c r="I20" s="30" t="n">
        <v>2</v>
      </c>
      <c r="J20" s="30" t="n">
        <v>92</v>
      </c>
      <c r="K20" s="30" t="n">
        <v>291</v>
      </c>
      <c r="L20" s="30" t="n">
        <v>75</v>
      </c>
      <c r="M20" s="30" t="n">
        <v>159</v>
      </c>
      <c r="N20" s="30" t="n">
        <v>172</v>
      </c>
      <c r="O20" s="30" t="n">
        <v>217</v>
      </c>
      <c r="P20" s="30" t="n">
        <v>8</v>
      </c>
      <c r="Q20" s="30" t="n">
        <v>3</v>
      </c>
      <c r="R20" s="30" t="n">
        <v>1282</v>
      </c>
    </row>
    <row r="21">
      <c r="A21" s="30" t="inlineStr">
        <is>
          <t>游侠</t>
        </is>
      </c>
      <c r="B21" s="30" t="inlineStr">
        <is>
          <t>圣枪侠</t>
        </is>
      </c>
      <c r="C21" s="30" t="n">
        <v>10</v>
      </c>
      <c r="D21" s="30" t="n">
        <v>11</v>
      </c>
      <c r="E21" s="30" t="n">
        <v>14</v>
      </c>
      <c r="F21" s="30" t="n">
        <v>10</v>
      </c>
      <c r="G21" s="30" t="n">
        <v>6</v>
      </c>
      <c r="H21" s="30" t="n">
        <v>1</v>
      </c>
      <c r="I21" s="30" t="n">
        <v>2</v>
      </c>
      <c r="J21" s="30" t="n">
        <v>68</v>
      </c>
      <c r="K21" s="30" t="n">
        <v>250</v>
      </c>
      <c r="L21" s="30" t="n">
        <v>84</v>
      </c>
      <c r="M21" s="30" t="n">
        <v>282</v>
      </c>
      <c r="N21" s="30" t="n">
        <v>186</v>
      </c>
      <c r="O21" s="30" t="n">
        <v>110</v>
      </c>
      <c r="P21" s="30" t="n">
        <v>3</v>
      </c>
      <c r="Q21" s="30" t="n">
        <v>4</v>
      </c>
      <c r="R21" s="30" t="n">
        <v>1246</v>
      </c>
    </row>
    <row r="22">
      <c r="A22" s="30" t="inlineStr">
        <is>
          <t>圣骑士</t>
        </is>
      </c>
      <c r="B22" s="30" t="inlineStr">
        <is>
          <t>圣殿骑士</t>
        </is>
      </c>
      <c r="C22" s="30" t="n">
        <v>14</v>
      </c>
      <c r="D22" s="30" t="n">
        <v>10</v>
      </c>
      <c r="E22" s="30" t="n">
        <v>10</v>
      </c>
      <c r="F22" s="30" t="n">
        <v>12</v>
      </c>
      <c r="G22" s="30" t="n">
        <v>9</v>
      </c>
      <c r="H22" s="30" t="n">
        <v>3</v>
      </c>
      <c r="I22" s="30" t="n">
        <v>2</v>
      </c>
      <c r="J22" s="30" t="n">
        <v>82</v>
      </c>
      <c r="K22" s="30" t="n">
        <v>176</v>
      </c>
      <c r="L22" s="30" t="n">
        <v>292</v>
      </c>
      <c r="M22" s="30" t="n">
        <v>133</v>
      </c>
      <c r="N22" s="30" t="n">
        <v>89</v>
      </c>
      <c r="O22" s="30" t="n">
        <v>236</v>
      </c>
      <c r="P22" s="30" t="n">
        <v>7</v>
      </c>
      <c r="Q22" s="30" t="n">
        <v>14</v>
      </c>
      <c r="R22" s="30" t="n">
        <v>1306</v>
      </c>
    </row>
    <row r="23">
      <c r="A23" s="30" t="inlineStr">
        <is>
          <t>圣骑士</t>
        </is>
      </c>
      <c r="B23" s="30" t="inlineStr">
        <is>
          <t>圣殿骑士</t>
        </is>
      </c>
      <c r="C23" s="30" t="n">
        <v>13</v>
      </c>
      <c r="D23" s="30" t="n">
        <v>12</v>
      </c>
      <c r="E23" s="30" t="n">
        <v>10</v>
      </c>
      <c r="F23" s="30" t="n">
        <v>12</v>
      </c>
      <c r="G23" s="30" t="n">
        <v>7</v>
      </c>
      <c r="H23" s="30" t="n">
        <v>2</v>
      </c>
      <c r="I23" s="30" t="n">
        <v>2</v>
      </c>
      <c r="J23" s="30" t="n">
        <v>79</v>
      </c>
      <c r="K23" s="30" t="n">
        <v>151</v>
      </c>
      <c r="L23" s="30" t="n">
        <v>280</v>
      </c>
      <c r="M23" s="30" t="n">
        <v>175</v>
      </c>
      <c r="N23" s="30" t="n">
        <v>83</v>
      </c>
      <c r="O23" s="30" t="n">
        <v>251</v>
      </c>
      <c r="P23" s="30" t="n">
        <v>6</v>
      </c>
      <c r="Q23" s="30" t="n">
        <v>14</v>
      </c>
      <c r="R23" s="30" t="n">
        <v>1310</v>
      </c>
    </row>
    <row r="24">
      <c r="A24" s="30" t="inlineStr">
        <is>
          <t>云之国刺客</t>
        </is>
      </c>
      <c r="B24" s="30" t="inlineStr">
        <is>
          <t>夜莺</t>
        </is>
      </c>
      <c r="C24" s="30" t="n">
        <v>9</v>
      </c>
      <c r="D24" s="30" t="n">
        <v>5</v>
      </c>
      <c r="E24" s="30" t="n">
        <v>15</v>
      </c>
      <c r="F24" s="30" t="n">
        <v>15</v>
      </c>
      <c r="G24" s="30" t="n">
        <v>7</v>
      </c>
      <c r="H24" s="30" t="n">
        <v>2</v>
      </c>
      <c r="I24" s="30" t="n">
        <v>1</v>
      </c>
      <c r="J24" s="30" t="n">
        <v>76</v>
      </c>
      <c r="K24" s="30" t="n">
        <v>138</v>
      </c>
      <c r="L24" s="30" t="n">
        <v>44</v>
      </c>
      <c r="M24" s="30" t="n">
        <v>322</v>
      </c>
      <c r="N24" s="30" t="n">
        <v>272</v>
      </c>
      <c r="O24" s="30" t="n">
        <v>139</v>
      </c>
      <c r="P24" s="30" t="n">
        <v>5</v>
      </c>
      <c r="Q24" s="30" t="n">
        <v>4</v>
      </c>
      <c r="R24" s="30" t="n">
        <v>1306</v>
      </c>
    </row>
    <row r="25">
      <c r="A25" s="30" t="inlineStr">
        <is>
          <t>女刺客</t>
        </is>
      </c>
      <c r="B25" s="30" t="inlineStr">
        <is>
          <t>夜魇</t>
        </is>
      </c>
      <c r="C25" s="30" t="n">
        <v>11</v>
      </c>
      <c r="D25" s="30" t="n">
        <v>9</v>
      </c>
      <c r="E25" s="30" t="n">
        <v>18</v>
      </c>
      <c r="F25" s="30" t="n">
        <v>13</v>
      </c>
      <c r="G25" s="30" t="n">
        <v>8</v>
      </c>
      <c r="H25" s="30" t="n">
        <v>2</v>
      </c>
      <c r="I25" s="30" t="n">
        <v>2</v>
      </c>
      <c r="J25" s="30" t="n">
        <v>85</v>
      </c>
      <c r="K25" s="30" t="n">
        <v>245</v>
      </c>
      <c r="L25" s="30" t="n">
        <v>70</v>
      </c>
      <c r="M25" s="30" t="n">
        <v>266</v>
      </c>
      <c r="N25" s="30" t="n">
        <v>309</v>
      </c>
      <c r="O25" s="30" t="n">
        <v>122</v>
      </c>
      <c r="P25" s="30" t="n">
        <v>5</v>
      </c>
      <c r="Q25" s="30" t="n">
        <v>5</v>
      </c>
      <c r="R25" s="30" t="n">
        <v>1405</v>
      </c>
    </row>
    <row r="26">
      <c r="A26" s="30" t="inlineStr">
        <is>
          <t>怪盗</t>
        </is>
      </c>
      <c r="B26" s="30" t="inlineStr">
        <is>
          <t>夜魇</t>
        </is>
      </c>
      <c r="C26" s="30" t="n">
        <v>12</v>
      </c>
      <c r="D26" s="30" t="n">
        <v>9</v>
      </c>
      <c r="E26" s="30" t="n">
        <v>14</v>
      </c>
      <c r="F26" s="30" t="n">
        <v>15</v>
      </c>
      <c r="G26" s="30" t="n">
        <v>8</v>
      </c>
      <c r="H26" s="30" t="n">
        <v>2</v>
      </c>
      <c r="I26" s="30" t="n">
        <v>1</v>
      </c>
      <c r="J26" s="30" t="n">
        <v>81</v>
      </c>
      <c r="K26" s="30" t="n">
        <v>169</v>
      </c>
      <c r="L26" s="30" t="n">
        <v>65</v>
      </c>
      <c r="M26" s="30" t="n">
        <v>317</v>
      </c>
      <c r="N26" s="30" t="n">
        <v>298</v>
      </c>
      <c r="O26" s="30" t="n">
        <v>133</v>
      </c>
      <c r="P26" s="30" t="n">
        <v>5</v>
      </c>
      <c r="Q26" s="30" t="n">
        <v>4</v>
      </c>
      <c r="R26" s="30" t="n">
        <v>1376</v>
      </c>
    </row>
    <row r="27">
      <c r="A27" s="30" t="inlineStr">
        <is>
          <t>幽灵剑士</t>
        </is>
      </c>
      <c r="B27" s="30" t="inlineStr">
        <is>
          <t>剑豪</t>
        </is>
      </c>
      <c r="C27" s="30" t="n">
        <v>8</v>
      </c>
      <c r="D27" s="30" t="n">
        <v>8</v>
      </c>
      <c r="E27" s="30" t="n">
        <v>16</v>
      </c>
      <c r="F27" s="30" t="n">
        <v>19</v>
      </c>
      <c r="G27" s="30" t="n">
        <v>8</v>
      </c>
      <c r="H27" s="30" t="n">
        <v>1</v>
      </c>
      <c r="I27" s="30" t="n">
        <v>2</v>
      </c>
      <c r="J27" s="30" t="n">
        <v>80</v>
      </c>
      <c r="K27" s="30" t="n">
        <v>252</v>
      </c>
      <c r="L27" s="30" t="n">
        <v>65</v>
      </c>
      <c r="M27" s="30" t="n">
        <v>232</v>
      </c>
      <c r="N27" s="30" t="n">
        <v>192</v>
      </c>
      <c r="O27" s="30" t="n">
        <v>187</v>
      </c>
      <c r="P27" s="30" t="n">
        <v>8</v>
      </c>
      <c r="Q27" s="30" t="n">
        <v>2</v>
      </c>
      <c r="R27" s="30" t="n">
        <v>1299</v>
      </c>
    </row>
    <row r="28">
      <c r="A28" s="30" t="inlineStr">
        <is>
          <t>巫医</t>
        </is>
      </c>
      <c r="B28" s="30" t="inlineStr">
        <is>
          <t>大巫医</t>
        </is>
      </c>
      <c r="C28" s="30" t="n">
        <v>10</v>
      </c>
      <c r="D28" s="30" t="n">
        <v>13</v>
      </c>
      <c r="E28" s="30" t="n">
        <v>12</v>
      </c>
      <c r="F28" s="30" t="n">
        <v>9</v>
      </c>
      <c r="G28" s="30" t="n">
        <v>9</v>
      </c>
      <c r="H28" s="30" t="n">
        <v>1</v>
      </c>
      <c r="I28" s="30" t="n">
        <v>3</v>
      </c>
      <c r="J28" s="30" t="n">
        <v>74</v>
      </c>
      <c r="K28" s="30" t="n">
        <v>44</v>
      </c>
      <c r="L28" s="30" t="n">
        <v>278</v>
      </c>
      <c r="M28" s="30" t="n">
        <v>265</v>
      </c>
      <c r="N28" s="30" t="n">
        <v>152</v>
      </c>
      <c r="O28" s="30" t="n">
        <v>209</v>
      </c>
      <c r="P28" s="30" t="n">
        <v>4</v>
      </c>
      <c r="Q28" s="30" t="n">
        <v>12</v>
      </c>
      <c r="R28" s="30" t="n">
        <v>1334</v>
      </c>
    </row>
    <row r="29">
      <c r="A29" s="30" t="inlineStr">
        <is>
          <t>精灵法师</t>
        </is>
      </c>
      <c r="B29" s="30" t="inlineStr">
        <is>
          <t>岩浆法师</t>
        </is>
      </c>
      <c r="C29" s="30" t="n">
        <v>11</v>
      </c>
      <c r="D29" s="30" t="n">
        <v>12</v>
      </c>
      <c r="E29" s="30" t="n">
        <v>10</v>
      </c>
      <c r="F29" s="30" t="n">
        <v>10</v>
      </c>
      <c r="G29" s="30" t="n">
        <v>7</v>
      </c>
      <c r="H29" s="30" t="n">
        <v>1</v>
      </c>
      <c r="I29" s="30" t="n">
        <v>3</v>
      </c>
      <c r="J29" s="30" t="n">
        <v>69</v>
      </c>
      <c r="K29" s="30" t="n">
        <v>55</v>
      </c>
      <c r="L29" s="30" t="n">
        <v>268</v>
      </c>
      <c r="M29" s="30" t="n">
        <v>207</v>
      </c>
      <c r="N29" s="30" t="n">
        <v>130</v>
      </c>
      <c r="O29" s="30" t="n">
        <v>225</v>
      </c>
      <c r="P29" s="30" t="n">
        <v>2</v>
      </c>
      <c r="Q29" s="30" t="n">
        <v>11</v>
      </c>
      <c r="R29" s="30" t="n">
        <v>1226</v>
      </c>
    </row>
    <row r="30">
      <c r="A30" s="30" t="inlineStr">
        <is>
          <t>巫医</t>
        </is>
      </c>
      <c r="B30" s="30" t="inlineStr">
        <is>
          <t>大巫医</t>
        </is>
      </c>
      <c r="C30" s="30" t="n">
        <v>9</v>
      </c>
      <c r="D30" s="30" t="n">
        <v>12</v>
      </c>
      <c r="E30" s="30" t="n">
        <v>11</v>
      </c>
      <c r="F30" s="30" t="n">
        <v>10</v>
      </c>
      <c r="G30" s="30" t="n">
        <v>7</v>
      </c>
      <c r="H30" s="30" t="n">
        <v>2</v>
      </c>
      <c r="I30" s="30" t="n">
        <v>3</v>
      </c>
      <c r="J30" s="30" t="n">
        <v>72</v>
      </c>
      <c r="K30" s="30" t="n">
        <v>59</v>
      </c>
      <c r="L30" s="30" t="n">
        <v>279</v>
      </c>
      <c r="M30" s="30" t="n">
        <v>246</v>
      </c>
      <c r="N30" s="30" t="n">
        <v>148</v>
      </c>
      <c r="O30" s="30" t="n">
        <v>217</v>
      </c>
      <c r="P30" s="30" t="n">
        <v>5</v>
      </c>
      <c r="Q30" s="30" t="n">
        <v>12</v>
      </c>
      <c r="R30" s="30" t="n">
        <v>1325</v>
      </c>
    </row>
    <row r="31">
      <c r="A31" s="30" t="inlineStr">
        <is>
          <t>精灵法师</t>
        </is>
      </c>
      <c r="B31" s="30" t="inlineStr">
        <is>
          <t>岩浆法师</t>
        </is>
      </c>
      <c r="C31" s="30" t="n">
        <v>9</v>
      </c>
      <c r="D31" s="30" t="n">
        <v>13</v>
      </c>
      <c r="E31" s="30" t="n">
        <v>10</v>
      </c>
      <c r="F31" s="30" t="n">
        <v>11</v>
      </c>
      <c r="G31" s="30" t="n">
        <v>10</v>
      </c>
      <c r="H31" s="30" t="n">
        <v>2</v>
      </c>
      <c r="I31" s="30" t="n">
        <v>3</v>
      </c>
      <c r="J31" s="30" t="n">
        <v>77</v>
      </c>
      <c r="K31" s="30" t="n">
        <v>83</v>
      </c>
      <c r="L31" s="30" t="n">
        <v>299</v>
      </c>
      <c r="M31" s="30" t="n">
        <v>210</v>
      </c>
      <c r="N31" s="30" t="n">
        <v>143</v>
      </c>
      <c r="O31" s="30" t="n">
        <v>194</v>
      </c>
      <c r="P31" s="30" t="n">
        <v>3</v>
      </c>
      <c r="Q31" s="30" t="n">
        <v>11</v>
      </c>
      <c r="R31" s="30" t="n">
        <v>1279</v>
      </c>
    </row>
    <row r="32">
      <c r="A32" s="30" t="inlineStr">
        <is>
          <t>精灵法师</t>
        </is>
      </c>
      <c r="B32" s="30" t="inlineStr">
        <is>
          <t>岩浆法师</t>
        </is>
      </c>
      <c r="C32" s="30" t="n">
        <v>10</v>
      </c>
      <c r="D32" s="30" t="n">
        <v>15</v>
      </c>
      <c r="E32" s="30" t="n">
        <v>10</v>
      </c>
      <c r="F32" s="30" t="n">
        <v>10</v>
      </c>
      <c r="G32" s="30" t="n">
        <v>9</v>
      </c>
      <c r="H32" s="30" t="n">
        <v>2</v>
      </c>
      <c r="I32" s="30" t="n">
        <v>3</v>
      </c>
      <c r="J32" s="30" t="n">
        <v>79</v>
      </c>
      <c r="K32" s="30" t="n">
        <v>75</v>
      </c>
      <c r="L32" s="30" t="n">
        <v>288</v>
      </c>
      <c r="M32" s="30" t="n">
        <v>233</v>
      </c>
      <c r="N32" s="30" t="n">
        <v>118</v>
      </c>
      <c r="O32" s="30" t="n">
        <v>205</v>
      </c>
      <c r="P32" s="30" t="n">
        <v>3</v>
      </c>
      <c r="Q32" s="30" t="n">
        <v>11</v>
      </c>
      <c r="R32" s="30" t="n">
        <v>1271</v>
      </c>
    </row>
    <row r="33">
      <c r="A33" s="30" t="inlineStr">
        <is>
          <t>精灵法师</t>
        </is>
      </c>
      <c r="B33" s="30" t="inlineStr">
        <is>
          <t>岩浆法师</t>
        </is>
      </c>
      <c r="C33" s="30" t="n">
        <v>11</v>
      </c>
      <c r="D33" s="30" t="n">
        <v>11</v>
      </c>
      <c r="E33" s="30" t="n">
        <v>10</v>
      </c>
      <c r="F33" s="30" t="n">
        <v>10</v>
      </c>
      <c r="G33" s="30" t="n">
        <v>9</v>
      </c>
      <c r="H33" s="30" t="n">
        <v>1</v>
      </c>
      <c r="I33" s="30" t="n">
        <v>2</v>
      </c>
      <c r="J33" s="30" t="n">
        <v>68</v>
      </c>
      <c r="K33" s="30" t="n">
        <v>65</v>
      </c>
      <c r="L33" s="30" t="n">
        <v>309</v>
      </c>
      <c r="M33" s="30" t="n">
        <v>234</v>
      </c>
      <c r="N33" s="30" t="n">
        <v>123</v>
      </c>
      <c r="O33" s="30" t="n">
        <v>198</v>
      </c>
      <c r="P33" s="30" t="n">
        <v>2</v>
      </c>
      <c r="Q33" s="30" t="n">
        <v>10</v>
      </c>
      <c r="R33" s="30" t="n">
        <v>1296</v>
      </c>
    </row>
    <row r="34">
      <c r="A34" s="30" t="inlineStr">
        <is>
          <t>怪盗</t>
        </is>
      </c>
      <c r="B34" s="30" t="inlineStr">
        <is>
          <t>夜魇</t>
        </is>
      </c>
      <c r="C34" s="30" t="n">
        <v>12</v>
      </c>
      <c r="D34" s="30" t="n">
        <v>9</v>
      </c>
      <c r="E34" s="30" t="n">
        <v>14</v>
      </c>
      <c r="F34" s="30" t="n">
        <v>16</v>
      </c>
      <c r="G34" s="30" t="n">
        <v>10</v>
      </c>
      <c r="H34" s="30" t="n">
        <v>2</v>
      </c>
      <c r="I34" s="30" t="n">
        <v>2</v>
      </c>
      <c r="J34" s="30" t="n">
        <v>87</v>
      </c>
      <c r="K34" s="30" t="n">
        <v>175</v>
      </c>
      <c r="L34" s="30" t="n">
        <v>52</v>
      </c>
      <c r="M34" s="30" t="n">
        <v>283</v>
      </c>
      <c r="N34" s="30" t="n">
        <v>292</v>
      </c>
      <c r="O34" s="30" t="n">
        <v>149</v>
      </c>
      <c r="P34" s="30" t="n">
        <v>5</v>
      </c>
      <c r="Q34" s="30" t="n">
        <v>5</v>
      </c>
      <c r="R34" s="30" t="n">
        <v>1340</v>
      </c>
    </row>
    <row r="35">
      <c r="A35" s="30" t="inlineStr">
        <is>
          <t>云之国刺客</t>
        </is>
      </c>
      <c r="B35" s="30" t="inlineStr">
        <is>
          <t>夜莺</t>
        </is>
      </c>
      <c r="C35" s="30" t="n">
        <v>10</v>
      </c>
      <c r="D35" s="30" t="n">
        <v>8</v>
      </c>
      <c r="E35" s="30" t="n">
        <v>18</v>
      </c>
      <c r="F35" s="30" t="n">
        <v>14</v>
      </c>
      <c r="G35" s="30" t="n">
        <v>9</v>
      </c>
      <c r="H35" s="30" t="n">
        <v>2</v>
      </c>
      <c r="I35" s="30" t="n">
        <v>2</v>
      </c>
      <c r="J35" s="30" t="n">
        <v>86</v>
      </c>
      <c r="K35" s="30" t="n">
        <v>207</v>
      </c>
      <c r="L35" s="30" t="n">
        <v>40</v>
      </c>
      <c r="M35" s="30" t="n">
        <v>331</v>
      </c>
      <c r="N35" s="30" t="n">
        <v>251</v>
      </c>
      <c r="O35" s="30" t="n">
        <v>112</v>
      </c>
      <c r="P35" s="30" t="n">
        <v>5</v>
      </c>
      <c r="Q35" s="30" t="n">
        <v>5</v>
      </c>
      <c r="R35" s="30" t="n">
        <v>1353</v>
      </c>
    </row>
    <row r="36">
      <c r="A36" s="30" t="inlineStr">
        <is>
          <t>卓尔刺客</t>
        </is>
      </c>
      <c r="B36" s="30" t="inlineStr">
        <is>
          <t>幻术刺客</t>
        </is>
      </c>
      <c r="C36" s="30" t="n">
        <v>15</v>
      </c>
      <c r="D36" s="30" t="n">
        <v>11</v>
      </c>
      <c r="E36" s="30" t="n">
        <v>12</v>
      </c>
      <c r="F36" s="30" t="n">
        <v>13</v>
      </c>
      <c r="G36" s="30" t="n">
        <v>8</v>
      </c>
      <c r="H36" s="30" t="n">
        <v>2</v>
      </c>
      <c r="I36" s="30" t="n">
        <v>2</v>
      </c>
      <c r="J36" s="30" t="n">
        <v>82</v>
      </c>
      <c r="K36" s="30" t="n">
        <v>261</v>
      </c>
      <c r="L36" s="30" t="n">
        <v>65</v>
      </c>
      <c r="M36" s="30" t="n">
        <v>268</v>
      </c>
      <c r="N36" s="30" t="n">
        <v>291</v>
      </c>
      <c r="O36" s="30" t="n">
        <v>118</v>
      </c>
      <c r="P36" s="30" t="n">
        <v>3</v>
      </c>
      <c r="Q36" s="30" t="n">
        <v>6</v>
      </c>
      <c r="R36" s="30" t="n">
        <v>1395</v>
      </c>
    </row>
    <row r="37">
      <c r="A37" s="30" t="inlineStr">
        <is>
          <t>剑士</t>
        </is>
      </c>
      <c r="B37" s="30" t="inlineStr">
        <is>
          <t>剑豪</t>
        </is>
      </c>
      <c r="C37" s="30" t="n">
        <v>13</v>
      </c>
      <c r="D37" s="30" t="n">
        <v>11</v>
      </c>
      <c r="E37" s="30" t="n">
        <v>12</v>
      </c>
      <c r="F37" s="30" t="n">
        <v>11</v>
      </c>
      <c r="G37" s="30" t="n">
        <v>15</v>
      </c>
      <c r="H37" s="30" t="n">
        <v>4</v>
      </c>
      <c r="I37" s="30" t="n">
        <v>1</v>
      </c>
      <c r="J37" s="30" t="n">
        <v>90</v>
      </c>
      <c r="K37" s="30" t="n">
        <v>263</v>
      </c>
      <c r="L37" s="30" t="n">
        <v>84</v>
      </c>
      <c r="M37" s="30" t="n">
        <v>137</v>
      </c>
      <c r="N37" s="30" t="n">
        <v>209</v>
      </c>
      <c r="O37" s="30" t="n">
        <v>266</v>
      </c>
      <c r="P37" s="30" t="n">
        <v>11</v>
      </c>
      <c r="Q37" s="30" t="n">
        <v>1</v>
      </c>
      <c r="R37" s="30" t="n">
        <v>1335</v>
      </c>
    </row>
    <row r="38">
      <c r="A38" s="30" t="inlineStr">
        <is>
          <t>巫医</t>
        </is>
      </c>
      <c r="B38" s="30" t="inlineStr">
        <is>
          <t>大巫医</t>
        </is>
      </c>
      <c r="C38" s="30" t="n">
        <v>11</v>
      </c>
      <c r="D38" s="30" t="n">
        <v>14</v>
      </c>
      <c r="E38" s="30" t="n">
        <v>10</v>
      </c>
      <c r="F38" s="30" t="n">
        <v>9</v>
      </c>
      <c r="G38" s="30" t="n">
        <v>8</v>
      </c>
      <c r="H38" s="30" t="n">
        <v>1</v>
      </c>
      <c r="I38" s="30" t="n">
        <v>2</v>
      </c>
      <c r="J38" s="30" t="n">
        <v>70</v>
      </c>
      <c r="K38" s="30" t="n">
        <v>69</v>
      </c>
      <c r="L38" s="30" t="n">
        <v>272</v>
      </c>
      <c r="M38" s="30" t="n">
        <v>230</v>
      </c>
      <c r="N38" s="30" t="n">
        <v>144</v>
      </c>
      <c r="O38" s="30" t="n">
        <v>195</v>
      </c>
      <c r="P38" s="30" t="n">
        <v>4</v>
      </c>
      <c r="Q38" s="30" t="n">
        <v>11</v>
      </c>
      <c r="R38" s="30" t="n">
        <v>1259</v>
      </c>
    </row>
    <row r="39">
      <c r="A39" s="30" t="inlineStr">
        <is>
          <t>古森林贤者</t>
        </is>
      </c>
      <c r="B39" s="30" t="inlineStr">
        <is>
          <t>大巫医</t>
        </is>
      </c>
      <c r="C39" s="30" t="n">
        <v>7</v>
      </c>
      <c r="D39" s="30" t="n">
        <v>12</v>
      </c>
      <c r="E39" s="30" t="n">
        <v>13</v>
      </c>
      <c r="F39" s="30" t="n">
        <v>11</v>
      </c>
      <c r="G39" s="30" t="n">
        <v>6</v>
      </c>
      <c r="H39" s="30" t="n">
        <v>2</v>
      </c>
      <c r="I39" s="30" t="n">
        <v>2</v>
      </c>
      <c r="J39" s="30" t="n">
        <v>72</v>
      </c>
      <c r="K39" s="30" t="n">
        <v>65</v>
      </c>
      <c r="L39" s="30" t="n">
        <v>247</v>
      </c>
      <c r="M39" s="30" t="n">
        <v>270</v>
      </c>
      <c r="N39" s="30" t="n">
        <v>162</v>
      </c>
      <c r="O39" s="30" t="n">
        <v>149</v>
      </c>
      <c r="P39" s="30" t="n">
        <v>5</v>
      </c>
      <c r="Q39" s="30" t="n">
        <v>11</v>
      </c>
      <c r="R39" s="30" t="n">
        <v>1240</v>
      </c>
    </row>
    <row r="40">
      <c r="A40" s="30" t="inlineStr">
        <is>
          <t>剑士</t>
        </is>
      </c>
      <c r="B40" s="30" t="inlineStr">
        <is>
          <t>剑豪</t>
        </is>
      </c>
      <c r="C40" s="30" t="n">
        <v>13</v>
      </c>
      <c r="D40" s="30" t="n">
        <v>11</v>
      </c>
      <c r="E40" s="30" t="n">
        <v>12</v>
      </c>
      <c r="F40" s="30" t="n">
        <v>10</v>
      </c>
      <c r="G40" s="30" t="n">
        <v>15</v>
      </c>
      <c r="H40" s="30" t="n">
        <v>5</v>
      </c>
      <c r="I40" s="30" t="n">
        <v>1</v>
      </c>
      <c r="J40" s="30" t="n">
        <v>92</v>
      </c>
      <c r="K40" s="30" t="n">
        <v>259</v>
      </c>
      <c r="L40" s="30" t="n">
        <v>72</v>
      </c>
      <c r="M40" s="30" t="n">
        <v>173</v>
      </c>
      <c r="N40" s="30" t="n">
        <v>189</v>
      </c>
      <c r="O40" s="30" t="n">
        <v>246</v>
      </c>
      <c r="P40" s="30" t="n">
        <v>12</v>
      </c>
      <c r="Q40" s="30" t="n">
        <v>1</v>
      </c>
      <c r="R40" s="30" t="n">
        <v>1323</v>
      </c>
    </row>
    <row r="41">
      <c r="A41" s="30" t="inlineStr">
        <is>
          <t>星之国剑士</t>
        </is>
      </c>
      <c r="B41" s="30" t="inlineStr">
        <is>
          <t>圣龙将军</t>
        </is>
      </c>
      <c r="C41" s="30" t="n">
        <v>12</v>
      </c>
      <c r="D41" s="30" t="n">
        <v>2</v>
      </c>
      <c r="E41" s="30" t="n">
        <v>12</v>
      </c>
      <c r="F41" s="30" t="n">
        <v>13</v>
      </c>
      <c r="G41" s="30" t="n">
        <v>14</v>
      </c>
      <c r="H41" s="30" t="n">
        <v>2</v>
      </c>
      <c r="I41" s="30" t="n">
        <v>2</v>
      </c>
      <c r="J41" s="30" t="n">
        <v>84</v>
      </c>
      <c r="K41" s="30" t="n">
        <v>228</v>
      </c>
      <c r="L41" s="30" t="n">
        <v>57</v>
      </c>
      <c r="M41" s="30" t="n">
        <v>194</v>
      </c>
      <c r="N41" s="30" t="n">
        <v>201</v>
      </c>
      <c r="O41" s="30" t="n">
        <v>232</v>
      </c>
      <c r="P41" s="30" t="n">
        <v>14</v>
      </c>
      <c r="Q41" s="30" t="n">
        <v>6</v>
      </c>
      <c r="R41" s="30" t="n">
        <v>1311</v>
      </c>
    </row>
    <row r="42">
      <c r="A42" s="30" t="inlineStr">
        <is>
          <t>女巫</t>
        </is>
      </c>
      <c r="B42" s="30" t="inlineStr">
        <is>
          <t>灵魂贤者</t>
        </is>
      </c>
      <c r="C42" s="30" t="n">
        <v>8</v>
      </c>
      <c r="D42" s="30" t="n">
        <v>11</v>
      </c>
      <c r="E42" s="30" t="n">
        <v>12</v>
      </c>
      <c r="F42" s="30" t="n">
        <v>12</v>
      </c>
      <c r="G42" s="30" t="n">
        <v>6</v>
      </c>
      <c r="H42" s="30" t="n">
        <v>1</v>
      </c>
      <c r="I42" s="30" t="n">
        <v>2</v>
      </c>
      <c r="J42" s="30" t="n">
        <v>68</v>
      </c>
      <c r="K42" s="30" t="n">
        <v>43</v>
      </c>
      <c r="L42" s="30" t="n">
        <v>296</v>
      </c>
      <c r="M42" s="30" t="n">
        <v>263</v>
      </c>
      <c r="N42" s="30" t="n">
        <v>162</v>
      </c>
      <c r="O42" s="30" t="n">
        <v>164</v>
      </c>
      <c r="P42" s="30" t="n">
        <v>4</v>
      </c>
      <c r="Q42" s="30" t="n">
        <v>11</v>
      </c>
      <c r="R42" s="30" t="n">
        <v>1318</v>
      </c>
    </row>
    <row r="43">
      <c r="A43" s="30" t="inlineStr">
        <is>
          <t>白袍贤者</t>
        </is>
      </c>
      <c r="B43" s="30" t="inlineStr">
        <is>
          <t>教宗</t>
        </is>
      </c>
      <c r="C43" s="30" t="n">
        <v>12</v>
      </c>
      <c r="D43" s="30" t="n">
        <v>13</v>
      </c>
      <c r="E43" s="30" t="n">
        <v>9</v>
      </c>
      <c r="F43" s="30" t="n">
        <v>12</v>
      </c>
      <c r="G43" s="30" t="n">
        <v>7</v>
      </c>
      <c r="H43" s="30" t="n">
        <v>2</v>
      </c>
      <c r="I43" s="30" t="n">
        <v>3</v>
      </c>
      <c r="J43" s="30" t="n">
        <v>81</v>
      </c>
      <c r="K43" s="30" t="n">
        <v>129</v>
      </c>
      <c r="L43" s="30" t="n">
        <v>304</v>
      </c>
      <c r="M43" s="30" t="n">
        <v>156</v>
      </c>
      <c r="N43" s="30" t="n">
        <v>141</v>
      </c>
      <c r="O43" s="30" t="n">
        <v>158</v>
      </c>
      <c r="P43" s="30" t="n">
        <v>3</v>
      </c>
      <c r="Q43" s="30" t="n">
        <v>11</v>
      </c>
      <c r="R43" s="30" t="n">
        <v>1251</v>
      </c>
    </row>
    <row r="44">
      <c r="A44" s="30" t="inlineStr">
        <is>
          <t>神侍</t>
        </is>
      </c>
      <c r="B44" s="30" t="inlineStr">
        <is>
          <t>圣光贤者</t>
        </is>
      </c>
      <c r="C44" s="30" t="n">
        <v>3</v>
      </c>
      <c r="D44" s="30" t="n">
        <v>12</v>
      </c>
      <c r="E44" s="30" t="n">
        <v>5</v>
      </c>
      <c r="F44" s="30" t="n">
        <v>9</v>
      </c>
      <c r="G44" s="30" t="n">
        <v>5</v>
      </c>
      <c r="H44" s="30" t="n">
        <v>1</v>
      </c>
      <c r="I44" s="30" t="n">
        <v>2</v>
      </c>
      <c r="J44" s="30" t="n">
        <v>54</v>
      </c>
      <c r="K44" s="30" t="n">
        <v>136</v>
      </c>
      <c r="L44" s="30" t="n">
        <v>309</v>
      </c>
      <c r="M44" s="30" t="n">
        <v>115</v>
      </c>
      <c r="N44" s="30" t="n">
        <v>151</v>
      </c>
      <c r="O44" s="30" t="n">
        <v>160</v>
      </c>
      <c r="P44" s="30" t="n">
        <v>2</v>
      </c>
      <c r="Q44" s="30" t="n">
        <v>10</v>
      </c>
      <c r="R44" s="30" t="n">
        <v>1237</v>
      </c>
    </row>
    <row r="45">
      <c r="A45" s="30" t="inlineStr">
        <is>
          <t>佣兵</t>
        </is>
      </c>
      <c r="B45" s="30" t="inlineStr">
        <is>
          <t>传奇猎人</t>
        </is>
      </c>
      <c r="C45" s="30" t="n">
        <v>11</v>
      </c>
      <c r="D45" s="30" t="n">
        <v>11</v>
      </c>
      <c r="E45" s="30" t="n">
        <v>12</v>
      </c>
      <c r="F45" s="30" t="n">
        <v>12</v>
      </c>
      <c r="G45" s="30" t="n">
        <v>10</v>
      </c>
      <c r="H45" s="30" t="n">
        <v>2</v>
      </c>
      <c r="I45" s="30" t="n">
        <v>1</v>
      </c>
      <c r="J45" s="30" t="n">
        <v>75</v>
      </c>
      <c r="K45" s="30" t="n">
        <v>259</v>
      </c>
      <c r="L45" s="30" t="n">
        <v>124</v>
      </c>
      <c r="M45" s="30" t="n">
        <v>312</v>
      </c>
      <c r="N45" s="30" t="n">
        <v>129</v>
      </c>
      <c r="O45" s="30" t="n">
        <v>180</v>
      </c>
      <c r="P45" s="30" t="n">
        <v>4</v>
      </c>
      <c r="Q45" s="30" t="n">
        <v>4</v>
      </c>
      <c r="R45" s="30" t="n">
        <v>1333</v>
      </c>
    </row>
    <row r="46">
      <c r="A46" s="30" t="inlineStr">
        <is>
          <t>古森林贤者</t>
        </is>
      </c>
      <c r="B46" s="30" t="inlineStr">
        <is>
          <t>大巫医</t>
        </is>
      </c>
      <c r="C46" s="30" t="n">
        <v>7</v>
      </c>
      <c r="D46" s="30" t="n">
        <v>13</v>
      </c>
      <c r="E46" s="30" t="n">
        <v>13</v>
      </c>
      <c r="F46" s="30" t="n">
        <v>9</v>
      </c>
      <c r="G46" s="30" t="n">
        <v>7</v>
      </c>
      <c r="H46" s="30" t="n">
        <v>1</v>
      </c>
      <c r="I46" s="30" t="n">
        <v>2</v>
      </c>
      <c r="J46" s="30" t="n">
        <v>70</v>
      </c>
      <c r="K46" s="30" t="n">
        <v>36</v>
      </c>
      <c r="L46" s="30" t="n">
        <v>244</v>
      </c>
      <c r="M46" s="30" t="n">
        <v>297</v>
      </c>
      <c r="N46" s="30" t="n">
        <v>171</v>
      </c>
      <c r="O46" s="30" t="n">
        <v>148</v>
      </c>
      <c r="P46" s="30" t="n">
        <v>4</v>
      </c>
      <c r="Q46" s="30" t="n">
        <v>11</v>
      </c>
      <c r="R46" s="30" t="n">
        <v>1265</v>
      </c>
    </row>
    <row r="47">
      <c r="A47" s="30" t="inlineStr">
        <is>
          <t>女刺客</t>
        </is>
      </c>
      <c r="B47" s="30" t="inlineStr">
        <is>
          <t>夜魇</t>
        </is>
      </c>
      <c r="C47" s="30" t="n">
        <v>11</v>
      </c>
      <c r="D47" s="30" t="n">
        <v>9</v>
      </c>
      <c r="E47" s="30" t="n">
        <v>13</v>
      </c>
      <c r="F47" s="30" t="n">
        <v>16</v>
      </c>
      <c r="G47" s="30" t="n">
        <v>9</v>
      </c>
      <c r="H47" s="30" t="n">
        <v>1</v>
      </c>
      <c r="I47" s="30" t="n">
        <v>2</v>
      </c>
      <c r="J47" s="30" t="n">
        <v>80</v>
      </c>
      <c r="K47" s="30" t="n">
        <v>197</v>
      </c>
      <c r="L47" s="30" t="n">
        <v>114</v>
      </c>
      <c r="M47" s="30" t="n">
        <v>243</v>
      </c>
      <c r="N47" s="30" t="n">
        <v>274</v>
      </c>
      <c r="O47" s="30" t="n">
        <v>118</v>
      </c>
      <c r="P47" s="30" t="n">
        <v>4</v>
      </c>
      <c r="Q47" s="30" t="n">
        <v>5</v>
      </c>
      <c r="R47" s="30" t="n">
        <v>1257</v>
      </c>
    </row>
    <row r="48">
      <c r="A48" s="30" t="inlineStr">
        <is>
          <t>亚马逊</t>
        </is>
      </c>
      <c r="B48" s="30" t="inlineStr">
        <is>
          <t>蛮荒之王</t>
        </is>
      </c>
      <c r="C48" s="30" t="n">
        <v>15</v>
      </c>
      <c r="D48" s="30" t="n">
        <v>9</v>
      </c>
      <c r="E48" s="30" t="n">
        <v>12</v>
      </c>
      <c r="F48" s="30" t="n">
        <v>11</v>
      </c>
      <c r="G48" s="30" t="n">
        <v>16</v>
      </c>
      <c r="H48" s="30" t="n">
        <v>2</v>
      </c>
      <c r="I48" s="30" t="n">
        <v>2</v>
      </c>
      <c r="J48" s="30" t="n">
        <v>90</v>
      </c>
      <c r="K48" s="30" t="n">
        <v>300</v>
      </c>
      <c r="L48" s="30" t="n">
        <v>42</v>
      </c>
      <c r="M48" s="30" t="n">
        <v>197</v>
      </c>
      <c r="N48" s="30" t="n">
        <v>194</v>
      </c>
      <c r="O48" s="30" t="n">
        <v>255</v>
      </c>
      <c r="P48" s="30" t="n">
        <v>8</v>
      </c>
      <c r="Q48" s="30" t="n">
        <v>3</v>
      </c>
      <c r="R48" s="30" t="n">
        <v>1428</v>
      </c>
    </row>
    <row r="49">
      <c r="A49" s="30" t="inlineStr">
        <is>
          <t>卓尔刺客</t>
        </is>
      </c>
      <c r="B49" s="30" t="inlineStr">
        <is>
          <t>幻术刺客</t>
        </is>
      </c>
      <c r="C49" s="30" t="n">
        <v>13</v>
      </c>
      <c r="D49" s="30" t="n">
        <v>11</v>
      </c>
      <c r="E49" s="30" t="n">
        <v>11</v>
      </c>
      <c r="F49" s="30" t="n">
        <v>12</v>
      </c>
      <c r="G49" s="30" t="n">
        <v>8</v>
      </c>
      <c r="H49" s="30" t="n">
        <v>2</v>
      </c>
      <c r="I49" s="30" t="n">
        <v>1</v>
      </c>
      <c r="J49" s="30" t="n">
        <v>74</v>
      </c>
      <c r="K49" s="30" t="n">
        <v>265</v>
      </c>
      <c r="L49" s="30" t="n">
        <v>50</v>
      </c>
      <c r="M49" s="30" t="n">
        <v>259</v>
      </c>
      <c r="N49" s="30" t="n">
        <v>254</v>
      </c>
      <c r="O49" s="30" t="n">
        <v>114</v>
      </c>
      <c r="P49" s="30" t="n">
        <v>3</v>
      </c>
      <c r="Q49" s="30" t="n">
        <v>5</v>
      </c>
      <c r="R49" s="30" t="n">
        <v>1323</v>
      </c>
    </row>
    <row r="50">
      <c r="A50" s="30" t="inlineStr">
        <is>
          <t>圣职</t>
        </is>
      </c>
      <c r="B50" s="30" t="inlineStr">
        <is>
          <t>教宗</t>
        </is>
      </c>
      <c r="C50" s="30" t="n">
        <v>4</v>
      </c>
      <c r="D50" s="30" t="n">
        <v>11</v>
      </c>
      <c r="E50" s="30" t="n">
        <v>7</v>
      </c>
      <c r="F50" s="30" t="n">
        <v>8</v>
      </c>
      <c r="G50" s="30" t="n">
        <v>5</v>
      </c>
      <c r="H50" s="30" t="n">
        <v>1</v>
      </c>
      <c r="I50" s="30" t="n">
        <v>1</v>
      </c>
      <c r="J50" s="30" t="n">
        <v>52</v>
      </c>
      <c r="K50" s="30" t="n">
        <v>131</v>
      </c>
      <c r="L50" s="30" t="n">
        <v>282</v>
      </c>
      <c r="M50" s="30" t="n">
        <v>177</v>
      </c>
      <c r="N50" s="30" t="n">
        <v>113</v>
      </c>
      <c r="O50" s="30" t="n">
        <v>169</v>
      </c>
      <c r="P50" s="30" t="n">
        <v>2</v>
      </c>
      <c r="Q50" s="30" t="n">
        <v>9</v>
      </c>
      <c r="R50" s="30" t="n">
        <v>1206</v>
      </c>
    </row>
    <row r="51">
      <c r="A51" s="30" t="inlineStr">
        <is>
          <t>巫医</t>
        </is>
      </c>
      <c r="B51" s="30" t="inlineStr">
        <is>
          <t>大巫医</t>
        </is>
      </c>
      <c r="C51" s="30" t="n">
        <v>11</v>
      </c>
      <c r="D51" s="30" t="n">
        <v>14</v>
      </c>
      <c r="E51" s="30" t="n">
        <v>10</v>
      </c>
      <c r="F51" s="30" t="n">
        <v>9</v>
      </c>
      <c r="G51" s="30" t="n">
        <v>6</v>
      </c>
      <c r="H51" s="30" t="n">
        <v>1</v>
      </c>
      <c r="I51" s="30" t="n">
        <v>3</v>
      </c>
      <c r="J51" s="30" t="n">
        <v>70</v>
      </c>
      <c r="K51" s="30" t="n">
        <v>56</v>
      </c>
      <c r="L51" s="30" t="n">
        <v>261</v>
      </c>
      <c r="M51" s="30" t="n">
        <v>210</v>
      </c>
      <c r="N51" s="30" t="n">
        <v>151</v>
      </c>
      <c r="O51" s="30" t="n">
        <v>216</v>
      </c>
      <c r="P51" s="30" t="n">
        <v>4</v>
      </c>
      <c r="Q51" s="30" t="n">
        <v>12</v>
      </c>
      <c r="R51" s="30" t="n">
        <v>1242</v>
      </c>
    </row>
    <row r="52">
      <c r="A52" s="30" t="inlineStr">
        <is>
          <t>神谕祭司</t>
        </is>
      </c>
      <c r="B52" s="30" t="inlineStr">
        <is>
          <t>教宗</t>
        </is>
      </c>
      <c r="C52" s="30" t="n">
        <v>5</v>
      </c>
      <c r="D52" s="30" t="n">
        <v>6</v>
      </c>
      <c r="E52" s="30" t="n">
        <v>7</v>
      </c>
      <c r="F52" s="30" t="n">
        <v>6</v>
      </c>
      <c r="G52" s="30" t="n">
        <v>8</v>
      </c>
      <c r="H52" s="30" t="n">
        <v>1</v>
      </c>
      <c r="I52" s="30" t="n">
        <v>1</v>
      </c>
      <c r="J52" s="30" t="n">
        <v>46</v>
      </c>
      <c r="K52" s="30" t="n">
        <v>94</v>
      </c>
      <c r="L52" s="30" t="n">
        <v>292</v>
      </c>
      <c r="M52" s="30" t="n">
        <v>121</v>
      </c>
      <c r="N52" s="30" t="n">
        <v>163</v>
      </c>
      <c r="O52" s="30" t="n">
        <v>189</v>
      </c>
      <c r="P52" s="30" t="n">
        <v>2</v>
      </c>
      <c r="Q52" s="30" t="n">
        <v>9</v>
      </c>
      <c r="R52" s="30" t="n">
        <v>1222</v>
      </c>
    </row>
    <row r="53">
      <c r="A53" s="30" t="inlineStr">
        <is>
          <t>潜行者</t>
        </is>
      </c>
      <c r="B53" s="30" t="inlineStr">
        <is>
          <t>夜魇</t>
        </is>
      </c>
      <c r="C53" s="30" t="n">
        <v>13</v>
      </c>
      <c r="D53" s="30" t="n">
        <v>5</v>
      </c>
      <c r="E53" s="30" t="n">
        <v>15</v>
      </c>
      <c r="F53" s="30" t="n">
        <v>15</v>
      </c>
      <c r="G53" s="30" t="n">
        <v>8</v>
      </c>
      <c r="H53" s="30" t="n">
        <v>2</v>
      </c>
      <c r="I53" s="30" t="n">
        <v>1</v>
      </c>
      <c r="J53" s="30" t="n">
        <v>83</v>
      </c>
      <c r="K53" s="30" t="n">
        <v>173</v>
      </c>
      <c r="L53" s="30" t="n">
        <v>69</v>
      </c>
      <c r="M53" s="30" t="n">
        <v>263</v>
      </c>
      <c r="N53" s="30" t="n">
        <v>295</v>
      </c>
      <c r="O53" s="30" t="n">
        <v>152</v>
      </c>
      <c r="P53" s="30" t="n">
        <v>5</v>
      </c>
      <c r="Q53" s="30" t="n">
        <v>4</v>
      </c>
      <c r="R53" s="30" t="n">
        <v>1317</v>
      </c>
    </row>
    <row r="54">
      <c r="A54" s="30" t="inlineStr">
        <is>
          <t>女剑士</t>
        </is>
      </c>
      <c r="B54" s="30" t="inlineStr">
        <is>
          <t>黑骑士</t>
        </is>
      </c>
      <c r="C54" s="30" t="n">
        <v>14</v>
      </c>
      <c r="D54" s="30" t="n">
        <v>10</v>
      </c>
      <c r="E54" s="30" t="n">
        <v>14</v>
      </c>
      <c r="F54" s="30" t="n">
        <v>12</v>
      </c>
      <c r="G54" s="30" t="n">
        <v>14</v>
      </c>
      <c r="H54" s="30" t="n">
        <v>2</v>
      </c>
      <c r="I54" s="30" t="n">
        <v>2</v>
      </c>
      <c r="J54" s="30" t="n">
        <v>90</v>
      </c>
      <c r="K54" s="30" t="n">
        <v>225</v>
      </c>
      <c r="L54" s="30" t="n">
        <v>72</v>
      </c>
      <c r="M54" s="30" t="n">
        <v>173</v>
      </c>
      <c r="N54" s="30" t="n">
        <v>172</v>
      </c>
      <c r="O54" s="30" t="n">
        <v>255</v>
      </c>
      <c r="P54" s="30" t="n">
        <v>14</v>
      </c>
      <c r="Q54" s="30" t="n">
        <v>6</v>
      </c>
      <c r="R54" s="30" t="n">
        <v>1276</v>
      </c>
    </row>
    <row r="55">
      <c r="A55" s="30" t="inlineStr">
        <is>
          <t>女剑士</t>
        </is>
      </c>
      <c r="B55" s="30" t="inlineStr">
        <is>
          <t>黑骑士</t>
        </is>
      </c>
      <c r="C55" s="30" t="n">
        <v>13</v>
      </c>
      <c r="D55" s="30" t="n">
        <v>10</v>
      </c>
      <c r="E55" s="30" t="n">
        <v>11</v>
      </c>
      <c r="F55" s="30" t="n">
        <v>10</v>
      </c>
      <c r="G55" s="30" t="n">
        <v>15</v>
      </c>
      <c r="H55" s="30" t="n">
        <v>5</v>
      </c>
      <c r="I55" s="30" t="n">
        <v>2</v>
      </c>
      <c r="J55" s="30" t="n">
        <v>92</v>
      </c>
      <c r="K55" s="30" t="n">
        <v>245</v>
      </c>
      <c r="L55" s="30" t="n">
        <v>75</v>
      </c>
      <c r="M55" s="30" t="n">
        <v>157</v>
      </c>
      <c r="N55" s="30" t="n">
        <v>218</v>
      </c>
      <c r="O55" s="30" t="n">
        <v>263</v>
      </c>
      <c r="P55" s="30" t="n">
        <v>17</v>
      </c>
      <c r="Q55" s="30" t="n">
        <v>6</v>
      </c>
      <c r="R55" s="30" t="n">
        <v>1367</v>
      </c>
    </row>
    <row r="56">
      <c r="A56" s="30" t="inlineStr">
        <is>
          <t>巫医</t>
        </is>
      </c>
      <c r="B56" s="30" t="inlineStr">
        <is>
          <t>大巫医</t>
        </is>
      </c>
      <c r="C56" s="30" t="n">
        <v>10</v>
      </c>
      <c r="D56" s="30" t="n">
        <v>12</v>
      </c>
      <c r="E56" s="30" t="n">
        <v>12</v>
      </c>
      <c r="F56" s="30" t="n">
        <v>11</v>
      </c>
      <c r="G56" s="30" t="n">
        <v>7</v>
      </c>
      <c r="H56" s="30" t="n">
        <v>2</v>
      </c>
      <c r="I56" s="30" t="n">
        <v>3</v>
      </c>
      <c r="J56" s="30" t="n">
        <v>75</v>
      </c>
      <c r="K56" s="30" t="n">
        <v>52</v>
      </c>
      <c r="L56" s="30" t="n">
        <v>262</v>
      </c>
      <c r="M56" s="30" t="n">
        <v>217</v>
      </c>
      <c r="N56" s="30" t="n">
        <v>134</v>
      </c>
      <c r="O56" s="30" t="n">
        <v>203</v>
      </c>
      <c r="P56" s="30" t="n">
        <v>5</v>
      </c>
      <c r="Q56" s="30" t="n">
        <v>12</v>
      </c>
      <c r="R56" s="30" t="n">
        <v>1218</v>
      </c>
    </row>
    <row r="57">
      <c r="A57" s="30" t="inlineStr">
        <is>
          <t>星之国剑士</t>
        </is>
      </c>
      <c r="B57" s="30" t="inlineStr">
        <is>
          <t>圣龙将军</t>
        </is>
      </c>
      <c r="C57" s="30" t="n">
        <v>14</v>
      </c>
      <c r="D57" s="30" t="n">
        <v>3</v>
      </c>
      <c r="E57" s="30" t="n">
        <v>12</v>
      </c>
      <c r="F57" s="30" t="n">
        <v>13</v>
      </c>
      <c r="G57" s="30" t="n">
        <v>15</v>
      </c>
      <c r="H57" s="30" t="n">
        <v>3</v>
      </c>
      <c r="I57" s="30" t="n">
        <v>1</v>
      </c>
      <c r="J57" s="30" t="n">
        <v>90</v>
      </c>
      <c r="K57" s="30" t="n">
        <v>193</v>
      </c>
      <c r="L57" s="30" t="n">
        <v>57</v>
      </c>
      <c r="M57" s="30" t="n">
        <v>171</v>
      </c>
      <c r="N57" s="30" t="n">
        <v>209</v>
      </c>
      <c r="O57" s="30" t="n">
        <v>229</v>
      </c>
      <c r="P57" s="30" t="n">
        <v>15</v>
      </c>
      <c r="Q57" s="30" t="n">
        <v>5</v>
      </c>
      <c r="R57" s="30" t="n">
        <v>1229</v>
      </c>
    </row>
    <row r="58">
      <c r="A58" s="30" t="inlineStr">
        <is>
          <t>游侠</t>
        </is>
      </c>
      <c r="B58" s="30" t="inlineStr">
        <is>
          <t>圣枪侠</t>
        </is>
      </c>
      <c r="C58" s="30" t="n">
        <v>11</v>
      </c>
      <c r="D58" s="30" t="n">
        <v>12</v>
      </c>
      <c r="E58" s="30" t="n">
        <v>12</v>
      </c>
      <c r="F58" s="30" t="n">
        <v>13</v>
      </c>
      <c r="G58" s="30" t="n">
        <v>7</v>
      </c>
      <c r="H58" s="30" t="n">
        <v>1</v>
      </c>
      <c r="I58" s="30" t="n">
        <v>1</v>
      </c>
      <c r="J58" s="30" t="n">
        <v>70</v>
      </c>
      <c r="K58" s="30" t="n">
        <v>219</v>
      </c>
      <c r="L58" s="30" t="n">
        <v>103</v>
      </c>
      <c r="M58" s="30" t="n">
        <v>268</v>
      </c>
      <c r="N58" s="30" t="n">
        <v>228</v>
      </c>
      <c r="O58" s="30" t="n">
        <v>117</v>
      </c>
      <c r="P58" s="30" t="n">
        <v>3</v>
      </c>
      <c r="Q58" s="30" t="n">
        <v>3</v>
      </c>
      <c r="R58" s="30" t="n">
        <v>1252</v>
      </c>
    </row>
    <row r="59">
      <c r="A59" s="30" t="inlineStr">
        <is>
          <t>神官</t>
        </is>
      </c>
      <c r="B59" s="30" t="inlineStr">
        <is>
          <t>神官骑士</t>
        </is>
      </c>
      <c r="C59" s="30" t="n">
        <v>11</v>
      </c>
      <c r="D59" s="30" t="n">
        <v>11</v>
      </c>
      <c r="E59" s="30" t="n">
        <v>10</v>
      </c>
      <c r="F59" s="30" t="n">
        <v>12</v>
      </c>
      <c r="G59" s="30" t="n">
        <v>9</v>
      </c>
      <c r="H59" s="30" t="n">
        <v>1</v>
      </c>
      <c r="I59" s="30" t="n">
        <v>5</v>
      </c>
      <c r="J59" s="30" t="n">
        <v>81</v>
      </c>
      <c r="K59" s="30" t="n">
        <v>132</v>
      </c>
      <c r="L59" s="30" t="n">
        <v>274</v>
      </c>
      <c r="M59" s="30" t="n">
        <v>165</v>
      </c>
      <c r="N59" s="30" t="n">
        <v>94</v>
      </c>
      <c r="O59" s="30" t="n">
        <v>204</v>
      </c>
      <c r="P59" s="30" t="n">
        <v>5</v>
      </c>
      <c r="Q59" s="30" t="n">
        <v>17</v>
      </c>
      <c r="R59" s="30" t="n">
        <v>1226</v>
      </c>
    </row>
    <row r="60">
      <c r="A60" s="30" t="inlineStr">
        <is>
          <t>火枪手</t>
        </is>
      </c>
      <c r="B60" s="30" t="inlineStr">
        <is>
          <t>圣枪侠</t>
        </is>
      </c>
      <c r="C60" s="30" t="n">
        <v>11</v>
      </c>
      <c r="D60" s="30" t="n">
        <v>12</v>
      </c>
      <c r="E60" s="30" t="n">
        <v>13</v>
      </c>
      <c r="F60" s="30" t="n">
        <v>13</v>
      </c>
      <c r="G60" s="30" t="n">
        <v>7</v>
      </c>
      <c r="H60" s="30" t="n">
        <v>2</v>
      </c>
      <c r="I60" s="30" t="n">
        <v>2</v>
      </c>
      <c r="J60" s="30" t="n">
        <v>77</v>
      </c>
      <c r="K60" s="30" t="n">
        <v>221</v>
      </c>
      <c r="L60" s="30" t="n">
        <v>108</v>
      </c>
      <c r="M60" s="30" t="n">
        <v>277</v>
      </c>
      <c r="N60" s="30" t="n">
        <v>224</v>
      </c>
      <c r="O60" s="30" t="n">
        <v>131</v>
      </c>
      <c r="P60" s="30" t="n">
        <v>4</v>
      </c>
      <c r="Q60" s="30" t="n">
        <v>4</v>
      </c>
      <c r="R60" s="30" t="n">
        <v>1288</v>
      </c>
    </row>
    <row r="61">
      <c r="A61" s="30" t="inlineStr">
        <is>
          <t>野蛮人</t>
        </is>
      </c>
      <c r="B61" s="30" t="inlineStr">
        <is>
          <t>狂战神</t>
        </is>
      </c>
      <c r="C61" s="30" t="n">
        <v>16</v>
      </c>
      <c r="D61" s="30" t="n">
        <v>8</v>
      </c>
      <c r="E61" s="30" t="n">
        <v>11</v>
      </c>
      <c r="F61" s="30" t="n">
        <v>11</v>
      </c>
      <c r="G61" s="30" t="n">
        <v>17</v>
      </c>
      <c r="H61" s="30" t="n">
        <v>5</v>
      </c>
      <c r="I61" s="30" t="n">
        <v>2</v>
      </c>
      <c r="J61" s="30" t="n">
        <v>101</v>
      </c>
      <c r="K61" s="30" t="n">
        <v>299</v>
      </c>
      <c r="L61" s="30" t="n">
        <v>54</v>
      </c>
      <c r="M61" s="30" t="n">
        <v>190</v>
      </c>
      <c r="N61" s="30" t="n">
        <v>165</v>
      </c>
      <c r="O61" s="30" t="n">
        <v>240</v>
      </c>
      <c r="P61" s="30" t="n">
        <v>11</v>
      </c>
      <c r="Q61" s="30" t="n">
        <v>3</v>
      </c>
      <c r="R61" s="30" t="n">
        <v>1368</v>
      </c>
    </row>
    <row r="62">
      <c r="A62" s="30" t="inlineStr">
        <is>
          <t>巫医</t>
        </is>
      </c>
      <c r="B62" s="30" t="inlineStr">
        <is>
          <t>大巫医</t>
        </is>
      </c>
      <c r="C62" s="30" t="n">
        <v>8</v>
      </c>
      <c r="D62" s="30" t="n">
        <v>15</v>
      </c>
      <c r="E62" s="30" t="n">
        <v>12</v>
      </c>
      <c r="F62" s="30" t="n">
        <v>10</v>
      </c>
      <c r="G62" s="30" t="n">
        <v>9</v>
      </c>
      <c r="H62" s="30" t="n">
        <v>1</v>
      </c>
      <c r="I62" s="30" t="n">
        <v>3</v>
      </c>
      <c r="J62" s="30" t="n">
        <v>78</v>
      </c>
      <c r="K62" s="30" t="n">
        <v>45</v>
      </c>
      <c r="L62" s="30" t="n">
        <v>305</v>
      </c>
      <c r="M62" s="30" t="n">
        <v>264</v>
      </c>
      <c r="N62" s="30" t="n">
        <v>152</v>
      </c>
      <c r="O62" s="30" t="n">
        <v>199</v>
      </c>
      <c r="P62" s="30" t="n">
        <v>4</v>
      </c>
      <c r="Q62" s="30" t="n">
        <v>12</v>
      </c>
      <c r="R62" s="30" t="n">
        <v>1367</v>
      </c>
    </row>
    <row r="63">
      <c r="A63" s="30" t="inlineStr">
        <is>
          <t>怪盗</t>
        </is>
      </c>
      <c r="B63" s="30" t="inlineStr">
        <is>
          <t>夜魇</t>
        </is>
      </c>
      <c r="C63" s="30" t="n">
        <v>12</v>
      </c>
      <c r="D63" s="30" t="n">
        <v>5</v>
      </c>
      <c r="E63" s="30" t="n">
        <v>17</v>
      </c>
      <c r="F63" s="30" t="n">
        <v>15</v>
      </c>
      <c r="G63" s="30" t="n">
        <v>10</v>
      </c>
      <c r="H63" s="30" t="n">
        <v>2</v>
      </c>
      <c r="I63" s="30" t="n">
        <v>2</v>
      </c>
      <c r="J63" s="30" t="n">
        <v>89</v>
      </c>
      <c r="K63" s="30" t="n">
        <v>171</v>
      </c>
      <c r="L63" s="30" t="n">
        <v>39</v>
      </c>
      <c r="M63" s="30" t="n">
        <v>310</v>
      </c>
      <c r="N63" s="30" t="n">
        <v>292</v>
      </c>
      <c r="O63" s="30" t="n">
        <v>155</v>
      </c>
      <c r="P63" s="30" t="n">
        <v>5</v>
      </c>
      <c r="Q63" s="30" t="n">
        <v>5</v>
      </c>
      <c r="R63" s="30" t="n">
        <v>1382</v>
      </c>
    </row>
    <row r="64">
      <c r="A64" s="30" t="inlineStr">
        <is>
          <t>神侍</t>
        </is>
      </c>
      <c r="B64" s="30" t="inlineStr">
        <is>
          <t>圣光贤者</t>
        </is>
      </c>
      <c r="C64" s="30" t="n">
        <v>5</v>
      </c>
      <c r="D64" s="30" t="n">
        <v>11</v>
      </c>
      <c r="E64" s="30" t="n">
        <v>8</v>
      </c>
      <c r="F64" s="30" t="n">
        <v>8</v>
      </c>
      <c r="G64" s="30" t="n">
        <v>7</v>
      </c>
      <c r="H64" s="30" t="n">
        <v>1</v>
      </c>
      <c r="I64" s="30" t="n">
        <v>2</v>
      </c>
      <c r="J64" s="30" t="n">
        <v>59</v>
      </c>
      <c r="K64" s="30" t="n">
        <v>174</v>
      </c>
      <c r="L64" s="30" t="n">
        <v>347</v>
      </c>
      <c r="M64" s="30" t="n">
        <v>119</v>
      </c>
      <c r="N64" s="30" t="n">
        <v>166</v>
      </c>
      <c r="O64" s="30" t="n">
        <v>192</v>
      </c>
      <c r="P64" s="30" t="n">
        <v>2</v>
      </c>
      <c r="Q64" s="30" t="n">
        <v>10</v>
      </c>
      <c r="R64" s="30" t="n">
        <v>1409</v>
      </c>
    </row>
    <row r="65">
      <c r="A65" s="30" t="inlineStr">
        <is>
          <t>亚马逊</t>
        </is>
      </c>
      <c r="B65" s="30" t="inlineStr">
        <is>
          <t>蛮荒之王</t>
        </is>
      </c>
      <c r="C65" s="30" t="n">
        <v>14</v>
      </c>
      <c r="D65" s="30" t="n">
        <v>10</v>
      </c>
      <c r="E65" s="30" t="n">
        <v>13</v>
      </c>
      <c r="F65" s="30" t="n">
        <v>12</v>
      </c>
      <c r="G65" s="30" t="n">
        <v>16</v>
      </c>
      <c r="H65" s="30" t="n">
        <v>4</v>
      </c>
      <c r="I65" s="30" t="n">
        <v>1</v>
      </c>
      <c r="J65" s="30" t="n">
        <v>96</v>
      </c>
      <c r="K65" s="30" t="n">
        <v>284</v>
      </c>
      <c r="L65" s="30" t="n">
        <v>42</v>
      </c>
      <c r="M65" s="30" t="n">
        <v>193</v>
      </c>
      <c r="N65" s="30" t="n">
        <v>215</v>
      </c>
      <c r="O65" s="30" t="n">
        <v>243</v>
      </c>
      <c r="P65" s="30" t="n">
        <v>10</v>
      </c>
      <c r="Q65" s="30" t="n">
        <v>2</v>
      </c>
      <c r="R65" s="30" t="n">
        <v>1411</v>
      </c>
    </row>
    <row r="66">
      <c r="A66" s="30" t="inlineStr">
        <is>
          <t>潜行者</t>
        </is>
      </c>
      <c r="B66" s="30" t="inlineStr">
        <is>
          <t>夜魇</t>
        </is>
      </c>
      <c r="C66" s="30" t="n">
        <v>11</v>
      </c>
      <c r="D66" s="30" t="n">
        <v>6</v>
      </c>
      <c r="E66" s="30" t="n">
        <v>14</v>
      </c>
      <c r="F66" s="30" t="n">
        <v>18</v>
      </c>
      <c r="G66" s="30" t="n">
        <v>8</v>
      </c>
      <c r="H66" s="30" t="n">
        <v>2</v>
      </c>
      <c r="I66" s="30" t="n">
        <v>2</v>
      </c>
      <c r="J66" s="30" t="n">
        <v>85</v>
      </c>
      <c r="K66" s="30" t="n">
        <v>159</v>
      </c>
      <c r="L66" s="30" t="n">
        <v>59</v>
      </c>
      <c r="M66" s="30" t="n">
        <v>309</v>
      </c>
      <c r="N66" s="30" t="n">
        <v>303</v>
      </c>
      <c r="O66" s="30" t="n">
        <v>150</v>
      </c>
      <c r="P66" s="30" t="n">
        <v>5</v>
      </c>
      <c r="Q66" s="30" t="n">
        <v>5</v>
      </c>
      <c r="R66" s="30" t="n">
        <v>1378</v>
      </c>
    </row>
    <row r="67">
      <c r="A67" s="30" t="inlineStr">
        <is>
          <t>乌鸦枪手</t>
        </is>
      </c>
      <c r="B67" s="30" t="inlineStr">
        <is>
          <t>烈枪侠</t>
        </is>
      </c>
      <c r="C67" s="30" t="n">
        <v>15</v>
      </c>
      <c r="D67" s="30" t="n">
        <v>7</v>
      </c>
      <c r="E67" s="30" t="n">
        <v>14</v>
      </c>
      <c r="F67" s="30" t="n">
        <v>13</v>
      </c>
      <c r="G67" s="30" t="n">
        <v>10</v>
      </c>
      <c r="H67" s="30" t="n">
        <v>1</v>
      </c>
      <c r="I67" s="30" t="n">
        <v>1</v>
      </c>
      <c r="J67" s="30" t="n">
        <v>81</v>
      </c>
      <c r="K67" s="30" t="n">
        <v>293</v>
      </c>
      <c r="L67" s="30" t="n">
        <v>76</v>
      </c>
      <c r="M67" s="30" t="n">
        <v>264</v>
      </c>
      <c r="N67" s="30" t="n">
        <v>197</v>
      </c>
      <c r="O67" s="30" t="n">
        <v>146</v>
      </c>
      <c r="P67" s="30" t="n">
        <v>3</v>
      </c>
      <c r="Q67" s="30" t="n">
        <v>3</v>
      </c>
      <c r="R67" s="30" t="n">
        <v>1336</v>
      </c>
    </row>
    <row r="68">
      <c r="A68" s="30" t="inlineStr">
        <is>
          <t>古森林贤者</t>
        </is>
      </c>
      <c r="B68" s="30" t="inlineStr">
        <is>
          <t>大巫医</t>
        </is>
      </c>
      <c r="C68" s="30" t="n">
        <v>7</v>
      </c>
      <c r="D68" s="30" t="n">
        <v>13</v>
      </c>
      <c r="E68" s="30" t="n">
        <v>13</v>
      </c>
      <c r="F68" s="30" t="n">
        <v>9</v>
      </c>
      <c r="G68" s="30" t="n">
        <v>9</v>
      </c>
      <c r="H68" s="30" t="n">
        <v>1</v>
      </c>
      <c r="I68" s="30" t="n">
        <v>2</v>
      </c>
      <c r="J68" s="30" t="n">
        <v>72</v>
      </c>
      <c r="K68" s="30" t="n">
        <v>54</v>
      </c>
      <c r="L68" s="30" t="n">
        <v>250</v>
      </c>
      <c r="M68" s="30" t="n">
        <v>305</v>
      </c>
      <c r="N68" s="30" t="n">
        <v>165</v>
      </c>
      <c r="O68" s="30" t="n">
        <v>165</v>
      </c>
      <c r="P68" s="30" t="n">
        <v>4</v>
      </c>
      <c r="Q68" s="30" t="n">
        <v>11</v>
      </c>
      <c r="R68" s="30" t="n">
        <v>1309</v>
      </c>
    </row>
    <row r="69">
      <c r="A69" s="30" t="inlineStr">
        <is>
          <t>法师</t>
        </is>
      </c>
      <c r="B69" s="30" t="inlineStr">
        <is>
          <t>霜寒法师</t>
        </is>
      </c>
      <c r="C69" s="30" t="n">
        <v>5</v>
      </c>
      <c r="D69" s="30" t="n">
        <v>10</v>
      </c>
      <c r="E69" s="30" t="n">
        <v>9</v>
      </c>
      <c r="F69" s="30" t="n">
        <v>9</v>
      </c>
      <c r="G69" s="30" t="n">
        <v>4</v>
      </c>
      <c r="H69" s="30" t="n">
        <v>1</v>
      </c>
      <c r="I69" s="30" t="n">
        <v>1</v>
      </c>
      <c r="J69" s="30" t="n">
        <v>52</v>
      </c>
      <c r="K69" s="30" t="n">
        <v>40</v>
      </c>
      <c r="L69" s="30" t="n">
        <v>315</v>
      </c>
      <c r="M69" s="30" t="n">
        <v>257</v>
      </c>
      <c r="N69" s="30" t="n">
        <v>172</v>
      </c>
      <c r="O69" s="30" t="n">
        <v>122</v>
      </c>
      <c r="P69" s="30" t="n">
        <v>2</v>
      </c>
      <c r="Q69" s="30" t="n">
        <v>9</v>
      </c>
      <c r="R69" s="30" t="n">
        <v>1292</v>
      </c>
    </row>
    <row r="70">
      <c r="A70" s="30" t="inlineStr">
        <is>
          <t>云之国剑士</t>
        </is>
      </c>
      <c r="B70" s="30" t="inlineStr">
        <is>
          <t>剑豪</t>
        </is>
      </c>
      <c r="C70" s="30" t="n">
        <v>10</v>
      </c>
      <c r="D70" s="30" t="n">
        <v>9</v>
      </c>
      <c r="E70" s="30" t="n">
        <v>16</v>
      </c>
      <c r="F70" s="30" t="n">
        <v>17</v>
      </c>
      <c r="G70" s="30" t="n">
        <v>6</v>
      </c>
      <c r="H70" s="30" t="n">
        <v>2</v>
      </c>
      <c r="I70" s="30" t="n">
        <v>2</v>
      </c>
      <c r="J70" s="30" t="n">
        <v>81</v>
      </c>
      <c r="K70" s="30" t="n">
        <v>270</v>
      </c>
      <c r="L70" s="30" t="n">
        <v>78</v>
      </c>
      <c r="M70" s="30" t="n">
        <v>197</v>
      </c>
      <c r="N70" s="30" t="n">
        <v>215</v>
      </c>
      <c r="O70" s="30" t="n">
        <v>183</v>
      </c>
      <c r="P70" s="30" t="n">
        <v>9</v>
      </c>
      <c r="Q70" s="30" t="n">
        <v>2</v>
      </c>
      <c r="R70" s="30" t="n">
        <v>1308</v>
      </c>
    </row>
    <row r="71">
      <c r="A71" s="30" t="inlineStr">
        <is>
          <t>女巫</t>
        </is>
      </c>
      <c r="B71" s="30" t="inlineStr">
        <is>
          <t>灵魂贤者</t>
        </is>
      </c>
      <c r="C71" s="30" t="n">
        <v>8</v>
      </c>
      <c r="D71" s="30" t="n">
        <v>11</v>
      </c>
      <c r="E71" s="30" t="n">
        <v>12</v>
      </c>
      <c r="F71" s="30" t="n">
        <v>10</v>
      </c>
      <c r="G71" s="30" t="n">
        <v>7</v>
      </c>
      <c r="H71" s="30" t="n">
        <v>1</v>
      </c>
      <c r="I71" s="30" t="n">
        <v>2</v>
      </c>
      <c r="J71" s="30" t="n">
        <v>66</v>
      </c>
      <c r="K71" s="30" t="n">
        <v>52</v>
      </c>
      <c r="L71" s="30" t="n">
        <v>293</v>
      </c>
      <c r="M71" s="30" t="n">
        <v>233</v>
      </c>
      <c r="N71" s="30" t="n">
        <v>146</v>
      </c>
      <c r="O71" s="30" t="n">
        <v>159</v>
      </c>
      <c r="P71" s="30" t="n">
        <v>4</v>
      </c>
      <c r="Q71" s="30" t="n">
        <v>11</v>
      </c>
      <c r="R71" s="30" t="n">
        <v>1250</v>
      </c>
    </row>
    <row r="72">
      <c r="A72" s="30" t="inlineStr">
        <is>
          <t>幽灵剑士</t>
        </is>
      </c>
      <c r="B72" s="30" t="inlineStr">
        <is>
          <t>剑豪</t>
        </is>
      </c>
      <c r="C72" s="30" t="n">
        <v>11</v>
      </c>
      <c r="D72" s="30" t="n">
        <v>8</v>
      </c>
      <c r="E72" s="30" t="n">
        <v>13</v>
      </c>
      <c r="F72" s="30" t="n">
        <v>19</v>
      </c>
      <c r="G72" s="30" t="n">
        <v>9</v>
      </c>
      <c r="H72" s="30" t="n">
        <v>1</v>
      </c>
      <c r="I72" s="30" t="n">
        <v>2</v>
      </c>
      <c r="J72" s="30" t="n">
        <v>82</v>
      </c>
      <c r="K72" s="30" t="n">
        <v>279</v>
      </c>
      <c r="L72" s="30" t="n">
        <v>57</v>
      </c>
      <c r="M72" s="30" t="n">
        <v>220</v>
      </c>
      <c r="N72" s="30" t="n">
        <v>237</v>
      </c>
      <c r="O72" s="30" t="n">
        <v>223</v>
      </c>
      <c r="P72" s="30" t="n">
        <v>8</v>
      </c>
      <c r="Q72" s="30" t="n">
        <v>2</v>
      </c>
      <c r="R72" s="30" t="n">
        <v>1436</v>
      </c>
    </row>
    <row r="73">
      <c r="A73" s="30" t="inlineStr">
        <is>
          <t>佣兵</t>
        </is>
      </c>
      <c r="B73" s="30" t="inlineStr">
        <is>
          <t>传奇猎人</t>
        </is>
      </c>
      <c r="C73" s="30" t="n">
        <v>11</v>
      </c>
      <c r="D73" s="30" t="n">
        <v>9</v>
      </c>
      <c r="E73" s="30" t="n">
        <v>11</v>
      </c>
      <c r="F73" s="30" t="n">
        <v>10</v>
      </c>
      <c r="G73" s="30" t="n">
        <v>8</v>
      </c>
      <c r="H73" s="30" t="n">
        <v>1</v>
      </c>
      <c r="I73" s="30" t="n">
        <v>1</v>
      </c>
      <c r="J73" s="30" t="n">
        <v>65</v>
      </c>
      <c r="K73" s="30" t="n">
        <v>238</v>
      </c>
      <c r="L73" s="30" t="n">
        <v>143</v>
      </c>
      <c r="M73" s="30" t="n">
        <v>295</v>
      </c>
      <c r="N73" s="30" t="n">
        <v>132</v>
      </c>
      <c r="O73" s="30" t="n">
        <v>180</v>
      </c>
      <c r="P73" s="30" t="n">
        <v>3</v>
      </c>
      <c r="Q73" s="30" t="n">
        <v>4</v>
      </c>
      <c r="R73" s="30" t="n">
        <v>1283</v>
      </c>
    </row>
    <row r="74">
      <c r="A74" s="30" t="inlineStr">
        <is>
          <t>战士</t>
        </is>
      </c>
      <c r="B74" s="30" t="inlineStr">
        <is>
          <t>剑豪</t>
        </is>
      </c>
      <c r="C74" s="30" t="n">
        <v>13</v>
      </c>
      <c r="D74" s="30" t="n">
        <v>3</v>
      </c>
      <c r="E74" s="30" t="n">
        <v>12</v>
      </c>
      <c r="F74" s="30" t="n">
        <v>6</v>
      </c>
      <c r="G74" s="30" t="n">
        <v>15</v>
      </c>
      <c r="H74" s="30" t="n">
        <v>10</v>
      </c>
      <c r="I74" s="30" t="n">
        <v>1</v>
      </c>
      <c r="J74" s="30" t="n">
        <v>100</v>
      </c>
      <c r="K74" s="30" t="n">
        <v>266</v>
      </c>
      <c r="L74" s="30" t="n">
        <v>57</v>
      </c>
      <c r="M74" s="30" t="n">
        <v>149</v>
      </c>
      <c r="N74" s="30" t="n">
        <v>198</v>
      </c>
      <c r="O74" s="30" t="n">
        <v>251</v>
      </c>
      <c r="P74" s="30" t="n">
        <v>17</v>
      </c>
      <c r="Q74" s="30" t="n">
        <v>1</v>
      </c>
      <c r="R74" s="30" t="n">
        <v>1332</v>
      </c>
    </row>
    <row r="75">
      <c r="A75" s="30" t="inlineStr">
        <is>
          <t>佣兵</t>
        </is>
      </c>
      <c r="B75" s="30" t="inlineStr">
        <is>
          <t>传奇猎人</t>
        </is>
      </c>
      <c r="C75" s="30" t="n">
        <v>11</v>
      </c>
      <c r="D75" s="30" t="n">
        <v>10</v>
      </c>
      <c r="E75" s="30" t="n">
        <v>13</v>
      </c>
      <c r="F75" s="30" t="n">
        <v>13</v>
      </c>
      <c r="G75" s="30" t="n">
        <v>10</v>
      </c>
      <c r="H75" s="30" t="n">
        <v>2</v>
      </c>
      <c r="I75" s="30" t="n">
        <v>1</v>
      </c>
      <c r="J75" s="30" t="n">
        <v>78</v>
      </c>
      <c r="K75" s="30" t="n">
        <v>238</v>
      </c>
      <c r="L75" s="30" t="n">
        <v>96</v>
      </c>
      <c r="M75" s="30" t="n">
        <v>296</v>
      </c>
      <c r="N75" s="30" t="n">
        <v>145</v>
      </c>
      <c r="O75" s="30" t="n">
        <v>200</v>
      </c>
      <c r="P75" s="30" t="n">
        <v>4</v>
      </c>
      <c r="Q75" s="30" t="n">
        <v>4</v>
      </c>
      <c r="R75" s="30" t="n">
        <v>1318</v>
      </c>
    </row>
    <row r="76">
      <c r="A76" s="30" t="inlineStr">
        <is>
          <t>女巫</t>
        </is>
      </c>
      <c r="B76" s="30" t="inlineStr">
        <is>
          <t>灵魂贤者</t>
        </is>
      </c>
      <c r="C76" s="30" t="n">
        <v>8</v>
      </c>
      <c r="D76" s="30" t="n">
        <v>11</v>
      </c>
      <c r="E76" s="30" t="n">
        <v>13</v>
      </c>
      <c r="F76" s="30" t="n">
        <v>11</v>
      </c>
      <c r="G76" s="30" t="n">
        <v>8</v>
      </c>
      <c r="H76" s="30" t="n">
        <v>1</v>
      </c>
      <c r="I76" s="30" t="n">
        <v>2</v>
      </c>
      <c r="J76" s="30" t="n">
        <v>70</v>
      </c>
      <c r="K76" s="30" t="n">
        <v>37</v>
      </c>
      <c r="L76" s="30" t="n">
        <v>300</v>
      </c>
      <c r="M76" s="30" t="n">
        <v>236</v>
      </c>
      <c r="N76" s="30" t="n">
        <v>175</v>
      </c>
      <c r="O76" s="30" t="n">
        <v>124</v>
      </c>
      <c r="P76" s="30" t="n">
        <v>4</v>
      </c>
      <c r="Q76" s="30" t="n">
        <v>11</v>
      </c>
      <c r="R76" s="30" t="n">
        <v>1251</v>
      </c>
    </row>
    <row r="77">
      <c r="A77" t="inlineStr">
        <is>
          <t>云之国剑士</t>
        </is>
      </c>
      <c r="B77" t="inlineStr">
        <is>
          <t>剑豪</t>
        </is>
      </c>
      <c r="C77" t="n">
        <v>10</v>
      </c>
      <c r="D77" t="n">
        <v>6</v>
      </c>
      <c r="E77" t="n">
        <v>16</v>
      </c>
      <c r="F77" t="n">
        <v>13</v>
      </c>
      <c r="G77" t="n">
        <v>9</v>
      </c>
      <c r="H77" t="n">
        <v>2</v>
      </c>
      <c r="I77" t="n">
        <v>2</v>
      </c>
      <c r="J77" t="n">
        <v>80</v>
      </c>
      <c r="K77" t="n">
        <v>267</v>
      </c>
      <c r="L77" t="n">
        <v>68</v>
      </c>
      <c r="M77" t="n">
        <v>220</v>
      </c>
      <c r="N77" t="n">
        <v>199</v>
      </c>
      <c r="O77" t="n">
        <v>205</v>
      </c>
      <c r="P77" t="n">
        <v>9</v>
      </c>
      <c r="Q77" t="n">
        <v>2</v>
      </c>
      <c r="R77" t="n">
        <v>1346</v>
      </c>
    </row>
  </sheetData>
  <autoFilter ref="A1:R3040"/>
  <mergeCells count="4">
    <mergeCell ref="C1:J1"/>
    <mergeCell ref="B1:B2"/>
    <mergeCell ref="K1:R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P25" activeCellId="0" sqref="P25"/>
    </sheetView>
  </sheetViews>
  <sheetFormatPr baseColWidth="8" defaultColWidth="8.890625" defaultRowHeight="13.5" zeroHeight="0" outlineLevelRow="0"/>
  <cols>
    <col width="8.890000000000001" customWidth="1" style="22" min="1" max="16384"/>
  </cols>
  <sheetData>
    <row r="1" ht="16.5" customHeight="1" s="20">
      <c r="A1" s="23" t="n"/>
      <c r="B1" s="24" t="inlineStr">
        <is>
          <t>1星至4星转职属性加成</t>
        </is>
      </c>
      <c r="I1" s="24" t="inlineStr">
        <is>
          <t>1星至日阶转职属性加成</t>
        </is>
      </c>
    </row>
    <row r="2" ht="13.5" customHeight="1" s="20">
      <c r="A2" s="25" t="n"/>
      <c r="B2" s="26" t="inlineStr">
        <is>
          <t>力</t>
        </is>
      </c>
      <c r="C2" s="26" t="inlineStr">
        <is>
          <t>魔</t>
        </is>
      </c>
      <c r="D2" s="26" t="inlineStr">
        <is>
          <t>技</t>
        </is>
      </c>
      <c r="E2" s="26" t="inlineStr">
        <is>
          <t>速</t>
        </is>
      </c>
      <c r="F2" s="26" t="inlineStr">
        <is>
          <t>体</t>
        </is>
      </c>
      <c r="G2" s="26" t="inlineStr">
        <is>
          <t>甲</t>
        </is>
      </c>
      <c r="H2" s="26" t="inlineStr">
        <is>
          <t>抗</t>
        </is>
      </c>
      <c r="I2" s="26" t="inlineStr">
        <is>
          <t>力</t>
        </is>
      </c>
      <c r="J2" s="26" t="inlineStr">
        <is>
          <t>魔</t>
        </is>
      </c>
      <c r="K2" s="26" t="inlineStr">
        <is>
          <t>技</t>
        </is>
      </c>
      <c r="L2" s="26" t="inlineStr">
        <is>
          <t>速</t>
        </is>
      </c>
      <c r="M2" s="26" t="inlineStr">
        <is>
          <t>体</t>
        </is>
      </c>
      <c r="N2" s="26" t="inlineStr">
        <is>
          <t>甲</t>
        </is>
      </c>
      <c r="O2" s="26" t="inlineStr">
        <is>
          <t>抗</t>
        </is>
      </c>
    </row>
    <row r="3" ht="13.5" customHeight="1" s="20">
      <c r="A3" s="27" t="inlineStr">
        <is>
          <t>剑宗</t>
        </is>
      </c>
    </row>
    <row r="4" ht="13.5" customHeight="1" s="20">
      <c r="A4" s="27" t="inlineStr">
        <is>
          <t>剑豪</t>
        </is>
      </c>
    </row>
    <row r="5" ht="13.5" customHeight="1" s="20">
      <c r="A5" s="27" t="inlineStr">
        <is>
          <t>剑魔</t>
        </is>
      </c>
    </row>
    <row r="6" ht="13.5" customHeight="1" s="20">
      <c r="A6" s="27" t="inlineStr">
        <is>
          <t>圣龙将军</t>
        </is>
      </c>
    </row>
    <row r="7" ht="13.5" customHeight="1" s="20">
      <c r="A7" s="27" t="inlineStr">
        <is>
          <t>黑骑士</t>
        </is>
      </c>
    </row>
    <row r="8" ht="13.5" customHeight="1" s="20">
      <c r="A8" s="27" t="inlineStr">
        <is>
          <t>传奇法师</t>
        </is>
      </c>
    </row>
    <row r="9" ht="13.5" customHeight="1" s="20">
      <c r="A9" s="27" t="inlineStr">
        <is>
          <t>岩浆法师</t>
        </is>
      </c>
    </row>
    <row r="10" ht="13.5" customHeight="1" s="20">
      <c r="A10" s="27" t="inlineStr">
        <is>
          <t>霜寒法师</t>
        </is>
      </c>
    </row>
    <row r="11" ht="13.5" customHeight="1" s="20">
      <c r="A11" s="27" t="inlineStr">
        <is>
          <t>血法师</t>
        </is>
      </c>
    </row>
    <row r="12" ht="13.5" customHeight="1" s="20">
      <c r="A12" s="27" t="inlineStr">
        <is>
          <t>幻境先知</t>
        </is>
      </c>
    </row>
    <row r="13" ht="13.5" customHeight="1" s="20">
      <c r="A13" s="27" t="inlineStr">
        <is>
          <t>虚空法师</t>
        </is>
      </c>
    </row>
    <row r="14" ht="13.5" customHeight="1" s="20">
      <c r="A14" s="27" t="inlineStr">
        <is>
          <t>大巫医</t>
        </is>
      </c>
    </row>
    <row r="15" ht="13.5" customHeight="1" s="20">
      <c r="A15" s="27" t="inlineStr">
        <is>
          <t>灵魂贤者</t>
        </is>
      </c>
    </row>
    <row r="16" ht="13.5" customHeight="1" s="20">
      <c r="A16" s="27" t="inlineStr">
        <is>
          <t>教宗</t>
        </is>
      </c>
    </row>
    <row r="17" ht="13.5" customHeight="1" s="20">
      <c r="A17" s="27" t="inlineStr">
        <is>
          <t>圣光贤者</t>
        </is>
      </c>
    </row>
    <row r="18" ht="13.5" customHeight="1" s="20">
      <c r="A18" s="27" t="inlineStr">
        <is>
          <t>圣殿骑士</t>
        </is>
      </c>
    </row>
    <row r="19" ht="13.5" customHeight="1" s="20">
      <c r="A19" s="27" t="inlineStr">
        <is>
          <t>神官骑士</t>
        </is>
      </c>
    </row>
    <row r="20" ht="13.5" customHeight="1" s="20">
      <c r="A20" s="27" t="inlineStr">
        <is>
          <t>诡术大师</t>
        </is>
      </c>
    </row>
    <row r="21" ht="13.5" customHeight="1" s="20">
      <c r="A21" s="27" t="inlineStr">
        <is>
          <t>幻术刺客</t>
        </is>
      </c>
    </row>
    <row r="22" ht="13.5" customHeight="1" s="20">
      <c r="A22" s="27" t="inlineStr">
        <is>
          <t>夜莺</t>
        </is>
      </c>
    </row>
    <row r="23" ht="13.5" customHeight="1" s="20">
      <c r="A23" s="27" t="inlineStr">
        <is>
          <t>夜魇</t>
        </is>
      </c>
    </row>
    <row r="24" ht="13.5" customHeight="1" s="20">
      <c r="A24" s="27" t="inlineStr">
        <is>
          <t>圣枪侠</t>
        </is>
      </c>
    </row>
    <row r="25" ht="13.5" customHeight="1" s="20">
      <c r="A25" s="28" t="inlineStr">
        <is>
          <t>烈枪侠</t>
        </is>
      </c>
    </row>
    <row r="26" ht="13.5" customHeight="1" s="20">
      <c r="A26" s="27" t="inlineStr">
        <is>
          <t>传奇猎人</t>
        </is>
      </c>
    </row>
    <row r="27" ht="13.5" customHeight="1" s="20">
      <c r="A27" s="27" t="inlineStr">
        <is>
          <t>巨龙猎人</t>
        </is>
      </c>
    </row>
    <row r="28" ht="13.5" customHeight="1" s="20">
      <c r="A28" s="27" t="inlineStr">
        <is>
          <t>狂战神</t>
        </is>
      </c>
    </row>
    <row r="29" ht="13.5" customHeight="1" s="20">
      <c r="A29" s="27" t="inlineStr">
        <is>
          <t>蛮荒之王</t>
        </is>
      </c>
    </row>
    <row r="30" ht="13.5" customHeight="1" s="20">
      <c r="A30" s="27" t="inlineStr">
        <is>
          <t>火刑官</t>
        </is>
      </c>
    </row>
    <row r="31" ht="13.5" customHeight="1" s="20">
      <c r="A31" s="27" t="inlineStr">
        <is>
          <t>毁灭者</t>
        </is>
      </c>
    </row>
    <row r="32" ht="13.5" customHeight="1" s="20">
      <c r="A32" s="29" t="n"/>
    </row>
    <row r="33" ht="13.5" customHeight="1" s="20">
      <c r="A33" s="29" t="n"/>
    </row>
  </sheetData>
  <mergeCells count="3">
    <mergeCell ref="B1:H1"/>
    <mergeCell ref="I1:O1"/>
    <mergeCell ref="A1:A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"/>
    </sheetView>
  </sheetViews>
  <sheetFormatPr baseColWidth="8" defaultColWidth="8.59765625" defaultRowHeight="13.5" zeroHeight="0" outlineLevelRow="0"/>
  <cols>
    <col width="9.109999999999999" customWidth="1" style="30" min="4" max="4"/>
  </cols>
  <sheetData>
    <row r="1" ht="13.5" customHeight="1" s="20">
      <c r="A1" s="30" t="n">
        <v>13</v>
      </c>
      <c r="B1" s="30" t="n">
        <v>308</v>
      </c>
      <c r="C1" s="30">
        <f>B1-A1-5-8-8</f>
        <v/>
      </c>
      <c r="D1" s="30">
        <f>_xlfn.TEXTJOIN(", ",TRUE(),C1:C77)</f>
        <v/>
      </c>
    </row>
    <row r="2" ht="13.5" customHeight="1" s="20">
      <c r="A2" s="30" t="n">
        <v>13</v>
      </c>
      <c r="B2" s="30" t="n">
        <v>291</v>
      </c>
      <c r="C2" s="30">
        <f>B2-A2-5-8-8</f>
        <v/>
      </c>
    </row>
    <row r="3" ht="13.5" customHeight="1" s="20">
      <c r="A3" s="30" t="n">
        <v>14</v>
      </c>
      <c r="B3" s="30" t="n">
        <v>292</v>
      </c>
      <c r="C3" s="30">
        <f>B3-A3-5-8-8</f>
        <v/>
      </c>
    </row>
    <row r="4" ht="13.5" customHeight="1" s="20">
      <c r="A4" s="30" t="n">
        <v>13</v>
      </c>
      <c r="B4" s="30" t="n">
        <v>282</v>
      </c>
      <c r="C4" s="30">
        <f>B4-A4-5-8-8</f>
        <v/>
      </c>
    </row>
    <row r="5" ht="13.5" customHeight="1" s="20">
      <c r="A5" s="30" t="n">
        <v>14</v>
      </c>
      <c r="B5" s="30" t="n">
        <v>321</v>
      </c>
      <c r="C5" s="30">
        <f>B5-A5-5-8-8</f>
        <v/>
      </c>
    </row>
    <row r="6" ht="13.5" customHeight="1" s="20">
      <c r="A6" s="30" t="n">
        <v>14</v>
      </c>
      <c r="B6" s="30" t="n">
        <v>292</v>
      </c>
      <c r="C6" s="30">
        <f>B6-A6-5-8-8</f>
        <v/>
      </c>
    </row>
    <row r="7" ht="13.5" customHeight="1" s="20">
      <c r="A7" s="30" t="n">
        <v>13</v>
      </c>
      <c r="B7" s="30" t="n">
        <v>286</v>
      </c>
      <c r="C7" s="30">
        <f>B7-A7-5-8-8</f>
        <v/>
      </c>
    </row>
    <row r="8" ht="13.5" customHeight="1" s="20">
      <c r="A8" s="30" t="n">
        <v>13</v>
      </c>
      <c r="B8" s="30" t="n">
        <v>290</v>
      </c>
      <c r="C8" s="30">
        <f>B8-A8-5-8-8</f>
        <v/>
      </c>
    </row>
    <row r="9" ht="13.5" customHeight="1" s="20">
      <c r="A9" s="30" t="n">
        <v>14</v>
      </c>
      <c r="B9" s="30" t="n">
        <v>293</v>
      </c>
      <c r="C9" s="30">
        <f>B9-A9-5-8-8</f>
        <v/>
      </c>
    </row>
    <row r="10" ht="13.5" customHeight="1" s="20">
      <c r="A10" s="30" t="n">
        <v>14</v>
      </c>
      <c r="B10" s="30" t="n">
        <v>293</v>
      </c>
      <c r="C10" s="30">
        <f>B10-A10-5-8-8</f>
        <v/>
      </c>
    </row>
    <row r="11" ht="13.5" customHeight="1" s="20">
      <c r="A11" s="30" t="n">
        <v>13</v>
      </c>
      <c r="B11" s="30" t="n">
        <v>289</v>
      </c>
      <c r="C11" s="30">
        <f>B11-A11-5-8-8</f>
        <v/>
      </c>
    </row>
    <row r="12" ht="13.5" customHeight="1" s="20">
      <c r="A12" s="30" t="n">
        <v>14</v>
      </c>
      <c r="B12" s="30" t="n">
        <v>295</v>
      </c>
      <c r="C12" s="30">
        <f>B12-A12-5-8-8</f>
        <v/>
      </c>
    </row>
    <row r="13" ht="13.5" customHeight="1" s="20">
      <c r="A13" s="30" t="n">
        <v>13</v>
      </c>
      <c r="B13" s="30" t="n">
        <v>251</v>
      </c>
      <c r="C13" s="30">
        <f>B13-A13-5-8-8</f>
        <v/>
      </c>
    </row>
    <row r="14" ht="13.5" customHeight="1" s="20">
      <c r="A14" s="30" t="n">
        <v>13</v>
      </c>
      <c r="B14" s="30" t="n">
        <v>300</v>
      </c>
      <c r="C14" s="30">
        <f>B14-A14-5-8-8</f>
        <v/>
      </c>
    </row>
    <row r="15" ht="13.5" customHeight="1" s="20">
      <c r="A15" s="30" t="n">
        <v>14</v>
      </c>
      <c r="B15" s="30" t="n">
        <v>289</v>
      </c>
      <c r="C15" s="30">
        <f>B15-A15-5-8-8</f>
        <v/>
      </c>
    </row>
    <row r="16" ht="13.5" customHeight="1" s="20">
      <c r="A16" s="30" t="n">
        <v>13</v>
      </c>
      <c r="B16" s="30" t="n">
        <v>299</v>
      </c>
      <c r="C16" s="30">
        <f>B16-A16-5-8-8</f>
        <v/>
      </c>
    </row>
    <row r="17" ht="13.5" customHeight="1" s="20">
      <c r="A17" s="30" t="n">
        <v>13</v>
      </c>
      <c r="B17" s="30" t="n">
        <v>313</v>
      </c>
      <c r="C17" s="30">
        <f>B17-A17-5-8-8</f>
        <v/>
      </c>
    </row>
    <row r="18" ht="13.5" customHeight="1" s="20">
      <c r="A18" s="30" t="n">
        <v>13</v>
      </c>
      <c r="B18" s="30" t="n">
        <v>299</v>
      </c>
      <c r="C18" s="30">
        <f>B18-A18-5-8-8</f>
        <v/>
      </c>
    </row>
    <row r="19" ht="13.5" customHeight="1" s="20">
      <c r="A19" s="30" t="n">
        <v>13</v>
      </c>
      <c r="B19" s="30" t="n">
        <v>307</v>
      </c>
      <c r="C19" s="30">
        <f>B19-A19-5-8-8</f>
        <v/>
      </c>
    </row>
    <row r="20" ht="13.5" customHeight="1" s="20">
      <c r="A20" s="30" t="n">
        <v>14</v>
      </c>
      <c r="B20" s="30" t="n">
        <v>295</v>
      </c>
      <c r="C20" s="30">
        <f>B20-A20-5-8-8</f>
        <v/>
      </c>
    </row>
    <row r="21" ht="13.5" customHeight="1" s="20">
      <c r="A21" s="30" t="n">
        <v>14</v>
      </c>
      <c r="B21" s="30" t="n">
        <v>303</v>
      </c>
      <c r="C21" s="30">
        <f>B21-A21-5-8-8</f>
        <v/>
      </c>
    </row>
    <row r="22" ht="13.5" customHeight="1" s="20">
      <c r="A22" s="30" t="n">
        <v>14</v>
      </c>
      <c r="B22" s="30" t="n">
        <v>290</v>
      </c>
      <c r="C22" s="30">
        <f>B22-A22-5-8-8</f>
        <v/>
      </c>
    </row>
    <row r="23" ht="13.5" customHeight="1" s="20">
      <c r="A23" s="30" t="n">
        <v>14</v>
      </c>
      <c r="B23" s="30" t="n">
        <v>339</v>
      </c>
      <c r="C23" s="30">
        <f>B23-A23-5-8-8</f>
        <v/>
      </c>
    </row>
    <row r="24" ht="13.5" customHeight="1" s="20">
      <c r="A24" s="30" t="n">
        <v>13</v>
      </c>
      <c r="B24" s="30" t="n">
        <v>293</v>
      </c>
      <c r="C24" s="30">
        <f>B24-A24-5-8-8</f>
        <v/>
      </c>
    </row>
    <row r="25" ht="13.5" customHeight="1" s="20">
      <c r="A25" s="30" t="n">
        <v>14</v>
      </c>
      <c r="B25" s="30" t="n">
        <v>316</v>
      </c>
      <c r="C25" s="30">
        <f>B25-A25-5-8-8</f>
        <v/>
      </c>
    </row>
    <row r="26" ht="13.5" customHeight="1" s="20">
      <c r="A26" s="30" t="n">
        <v>14</v>
      </c>
      <c r="B26" s="30" t="n">
        <v>281</v>
      </c>
      <c r="C26" s="30">
        <f>B26-A26-5-8-8</f>
        <v/>
      </c>
    </row>
    <row r="27" ht="13.5" customHeight="1" s="20">
      <c r="A27" s="30" t="n">
        <v>13</v>
      </c>
      <c r="B27" s="30" t="n">
        <v>287</v>
      </c>
      <c r="C27" s="30">
        <f>B27-A27-5-8-8</f>
        <v/>
      </c>
    </row>
    <row r="28" ht="13.5" customHeight="1" s="20">
      <c r="A28" s="30" t="n">
        <v>14</v>
      </c>
      <c r="B28" s="30" t="n">
        <v>309</v>
      </c>
      <c r="C28" s="30">
        <f>B28-A28-5-8-8</f>
        <v/>
      </c>
    </row>
    <row r="29" ht="13.5" customHeight="1" s="20">
      <c r="A29" s="30" t="n">
        <v>13</v>
      </c>
      <c r="B29" s="30" t="n">
        <v>287</v>
      </c>
      <c r="C29" s="30">
        <f>B29-A29-5-8-8</f>
        <v/>
      </c>
    </row>
    <row r="30" ht="13.5" customHeight="1" s="20">
      <c r="A30" s="30" t="n">
        <v>14</v>
      </c>
      <c r="B30" s="30" t="n">
        <v>312</v>
      </c>
      <c r="C30" s="30">
        <f>B30-A30-5-8-8</f>
        <v/>
      </c>
    </row>
    <row r="31" ht="13.5" customHeight="1" s="20">
      <c r="A31" s="30" t="n">
        <v>13</v>
      </c>
      <c r="B31" s="30" t="n">
        <v>285</v>
      </c>
      <c r="C31" s="30">
        <f>B31-A31-5-8-8</f>
        <v/>
      </c>
    </row>
    <row r="32" ht="13.5" customHeight="1" s="20">
      <c r="A32" s="30" t="n">
        <v>14</v>
      </c>
      <c r="B32" s="30" t="n">
        <v>280</v>
      </c>
      <c r="C32" s="30">
        <f>B32-A32-5-8-8</f>
        <v/>
      </c>
    </row>
    <row r="33" ht="13.5" customHeight="1" s="20">
      <c r="A33" s="30" t="n">
        <v>13</v>
      </c>
      <c r="B33" s="30" t="n">
        <v>282</v>
      </c>
      <c r="C33" s="30">
        <f>B33-A33-5-8-8</f>
        <v/>
      </c>
    </row>
    <row r="34" ht="13.5" customHeight="1" s="20">
      <c r="A34" s="30" t="n">
        <v>13</v>
      </c>
      <c r="B34" s="30" t="n">
        <v>301</v>
      </c>
      <c r="C34" s="30">
        <f>B34-A34-5-8-8</f>
        <v/>
      </c>
    </row>
    <row r="35" ht="13.5" customHeight="1" s="20">
      <c r="A35" s="30" t="n">
        <v>14</v>
      </c>
      <c r="B35" s="30" t="n">
        <v>305</v>
      </c>
      <c r="C35" s="30">
        <f>B35-A35-5-8-8</f>
        <v/>
      </c>
    </row>
    <row r="36" ht="13.5" customHeight="1" s="20">
      <c r="A36" s="30" t="n">
        <v>13</v>
      </c>
      <c r="B36" s="30" t="n">
        <v>282</v>
      </c>
      <c r="C36" s="30">
        <f>B36-A36-5-8-8</f>
        <v/>
      </c>
    </row>
    <row r="37" ht="13.5" customHeight="1" s="20">
      <c r="A37" s="30" t="n">
        <v>13</v>
      </c>
      <c r="B37" s="30" t="n">
        <v>290</v>
      </c>
      <c r="C37" s="30">
        <f>B37-A37-5-8-8</f>
        <v/>
      </c>
    </row>
    <row r="38" ht="13.5" customHeight="1" s="20">
      <c r="A38" s="30" t="n">
        <v>14</v>
      </c>
      <c r="B38" s="30" t="n">
        <v>308</v>
      </c>
      <c r="C38" s="30">
        <f>B38-A38-5-8-8</f>
        <v/>
      </c>
    </row>
    <row r="39" ht="13.5" customHeight="1" s="20">
      <c r="A39" s="30" t="n">
        <v>13</v>
      </c>
      <c r="B39" s="30" t="n">
        <v>293</v>
      </c>
      <c r="C39" s="30">
        <f>B39-A39-5-8-8</f>
        <v/>
      </c>
    </row>
    <row r="40" ht="13.5" customHeight="1" s="20">
      <c r="A40" s="30" t="n">
        <v>13</v>
      </c>
      <c r="B40" s="30" t="n">
        <v>298</v>
      </c>
      <c r="C40" s="30">
        <f>B40-A40-5-8-8</f>
        <v/>
      </c>
    </row>
    <row r="41" ht="13.5" customHeight="1" s="20">
      <c r="A41" s="30" t="n">
        <v>13</v>
      </c>
      <c r="B41" s="30" t="n">
        <v>309</v>
      </c>
      <c r="C41" s="30">
        <f>B41-A41-5-8-8</f>
        <v/>
      </c>
    </row>
    <row r="42" ht="13.5" customHeight="1" s="20">
      <c r="A42" s="30" t="n">
        <v>14</v>
      </c>
      <c r="B42" s="30" t="n">
        <v>296</v>
      </c>
      <c r="C42" s="30">
        <f>B42-A42-5-8-8</f>
        <v/>
      </c>
    </row>
    <row r="43" ht="13.5" customHeight="1" s="20">
      <c r="A43" s="30" t="n">
        <v>14</v>
      </c>
      <c r="B43" s="30" t="n">
        <v>308</v>
      </c>
      <c r="C43" s="30">
        <f>B43-A43-5-8-8</f>
        <v/>
      </c>
    </row>
    <row r="44" ht="13.5" customHeight="1" s="20">
      <c r="A44" s="30" t="n">
        <v>14</v>
      </c>
      <c r="B44" s="30" t="n">
        <v>328</v>
      </c>
      <c r="C44" s="30">
        <f>B44-A44-5-8-8</f>
        <v/>
      </c>
    </row>
    <row r="45" ht="13.5" customHeight="1" s="20">
      <c r="A45" s="30" t="n">
        <v>14</v>
      </c>
      <c r="B45" s="30" t="n">
        <v>281</v>
      </c>
      <c r="C45" s="30">
        <f>B45-A45-5-8-8</f>
        <v/>
      </c>
    </row>
    <row r="46" ht="13.5" customHeight="1" s="20">
      <c r="A46" s="30" t="n">
        <v>14</v>
      </c>
      <c r="B46" s="30" t="n">
        <v>298</v>
      </c>
      <c r="C46" s="30">
        <f>B46-A46-5-8-8</f>
        <v/>
      </c>
    </row>
    <row r="47" ht="13.5" customHeight="1" s="20">
      <c r="A47" s="30" t="n">
        <v>13</v>
      </c>
      <c r="B47" s="30" t="n">
        <v>314</v>
      </c>
      <c r="C47" s="30">
        <f>B47-A47-5-8-8</f>
        <v/>
      </c>
    </row>
    <row r="48" ht="13.5" customHeight="1" s="20">
      <c r="A48" s="30" t="n">
        <v>14</v>
      </c>
      <c r="B48" s="30" t="n">
        <v>273</v>
      </c>
      <c r="C48" s="30">
        <f>B48-A48-5-8-8</f>
        <v/>
      </c>
    </row>
    <row r="49" ht="13.5" customHeight="1" s="20">
      <c r="A49" s="30" t="n">
        <v>14</v>
      </c>
      <c r="B49" s="30" t="n">
        <v>313</v>
      </c>
      <c r="C49" s="30">
        <f>B49-A49-5-8-8</f>
        <v/>
      </c>
    </row>
    <row r="50" ht="13.5" customHeight="1" s="20">
      <c r="A50" s="30" t="n">
        <v>14</v>
      </c>
      <c r="B50" s="30" t="n">
        <v>286</v>
      </c>
      <c r="C50" s="30">
        <f>B50-A50-5-8-8</f>
        <v/>
      </c>
    </row>
    <row r="51" ht="13.5" customHeight="1" s="20">
      <c r="A51" s="30" t="n">
        <v>13</v>
      </c>
      <c r="B51" s="30" t="n">
        <v>308</v>
      </c>
      <c r="C51" s="30">
        <f>B51-A51-5-8-8</f>
        <v/>
      </c>
    </row>
    <row r="52" ht="13.5" customHeight="1" s="20">
      <c r="A52" s="30" t="n">
        <v>13</v>
      </c>
      <c r="B52" s="30" t="n">
        <v>290</v>
      </c>
      <c r="C52" s="30">
        <f>B52-A52-5-8-8</f>
        <v/>
      </c>
    </row>
    <row r="53" ht="13.5" customHeight="1" s="20">
      <c r="A53" s="30" t="n">
        <v>13</v>
      </c>
      <c r="B53" s="30" t="n">
        <v>308</v>
      </c>
      <c r="C53" s="30">
        <f>B53-A53-5-8-8</f>
        <v/>
      </c>
    </row>
    <row r="54" ht="13.5" customHeight="1" s="20">
      <c r="A54" s="30" t="n">
        <v>13</v>
      </c>
      <c r="B54" s="30" t="n">
        <v>319</v>
      </c>
      <c r="C54" s="30">
        <f>B54-A54-5-8-8</f>
        <v/>
      </c>
    </row>
    <row r="55" ht="13.5" customHeight="1" s="20">
      <c r="A55" s="30" t="n">
        <v>13</v>
      </c>
      <c r="B55" s="30" t="n">
        <v>284</v>
      </c>
      <c r="C55" s="30">
        <f>B55-A55-5-8-8</f>
        <v/>
      </c>
    </row>
    <row r="56" ht="13.5" customHeight="1" s="20">
      <c r="A56" s="30" t="n">
        <v>13</v>
      </c>
      <c r="B56" s="30" t="n">
        <v>317</v>
      </c>
      <c r="C56" s="30">
        <f>B56-A56-5-8-8</f>
        <v/>
      </c>
    </row>
    <row r="57" ht="13.5" customHeight="1" s="20">
      <c r="A57" s="30" t="n">
        <v>14</v>
      </c>
      <c r="B57" s="30" t="n">
        <v>287</v>
      </c>
      <c r="C57" s="30">
        <f>B57-A57-5-8-8</f>
        <v/>
      </c>
    </row>
    <row r="58" ht="13.5" customHeight="1" s="20">
      <c r="A58" s="30" t="n">
        <v>14</v>
      </c>
      <c r="B58" s="30" t="n">
        <v>319</v>
      </c>
      <c r="C58" s="30">
        <f>B58-A58-5-8-8</f>
        <v/>
      </c>
    </row>
    <row r="59" ht="13.5" customHeight="1" s="20">
      <c r="A59" s="30" t="n">
        <v>14</v>
      </c>
      <c r="B59" s="30" t="n">
        <v>304</v>
      </c>
      <c r="C59" s="30">
        <f>B59-A59-5-8-8</f>
        <v/>
      </c>
    </row>
    <row r="60" ht="13.5" customHeight="1" s="20">
      <c r="A60" s="30" t="n">
        <v>13</v>
      </c>
      <c r="B60" s="30" t="n">
        <v>295</v>
      </c>
      <c r="C60" s="30">
        <f>B60-A60-5-8-8</f>
        <v/>
      </c>
    </row>
    <row r="61" ht="13.5" customHeight="1" s="20">
      <c r="A61" s="30" t="n">
        <v>14</v>
      </c>
      <c r="B61" s="30" t="n">
        <v>305</v>
      </c>
      <c r="C61" s="30">
        <f>B61-A61-5-8-8</f>
        <v/>
      </c>
    </row>
    <row r="62" ht="13.5" customHeight="1" s="20">
      <c r="A62" s="30" t="n">
        <v>13</v>
      </c>
      <c r="B62" s="30" t="n">
        <v>305</v>
      </c>
      <c r="C62" s="30">
        <f>B62-A62-5-8-8</f>
        <v/>
      </c>
    </row>
    <row r="63" ht="13.5" customHeight="1" s="20">
      <c r="A63" s="30" t="n">
        <v>14</v>
      </c>
      <c r="B63" s="30" t="n">
        <v>279</v>
      </c>
      <c r="C63" s="30">
        <f>B63-A63-5-8-8</f>
        <v/>
      </c>
    </row>
    <row r="64" ht="13.5" customHeight="1" s="20">
      <c r="A64" s="30" t="n">
        <v>13</v>
      </c>
      <c r="B64" s="30" t="n">
        <v>299</v>
      </c>
      <c r="C64" s="30">
        <f>B64-A64-5-8-8</f>
        <v/>
      </c>
    </row>
    <row r="65" ht="13.5" customHeight="1" s="20">
      <c r="A65" s="30" t="n">
        <v>13</v>
      </c>
      <c r="B65" s="30" t="n">
        <v>278</v>
      </c>
      <c r="C65" s="30">
        <f>B65-A65-5-8-8</f>
        <v/>
      </c>
    </row>
    <row r="66" ht="13.5" customHeight="1" s="20">
      <c r="A66" s="30" t="n">
        <v>14</v>
      </c>
      <c r="B66" s="30" t="n">
        <v>309</v>
      </c>
      <c r="C66" s="30">
        <f>B66-A66-5-8-8</f>
        <v/>
      </c>
    </row>
    <row r="67" ht="13.5" customHeight="1" s="20">
      <c r="A67" s="30" t="n">
        <v>14</v>
      </c>
      <c r="B67" s="30" t="n">
        <v>295</v>
      </c>
      <c r="C67" s="30">
        <f>B67-A67-5-8-8</f>
        <v/>
      </c>
    </row>
    <row r="68" ht="13.5" customHeight="1" s="20">
      <c r="A68" s="30" t="n">
        <v>13</v>
      </c>
      <c r="B68" s="30" t="n">
        <v>300</v>
      </c>
      <c r="C68" s="30">
        <f>B68-A68-5-8-8</f>
        <v/>
      </c>
    </row>
    <row r="69" ht="13.5" customHeight="1" s="20">
      <c r="A69" s="30" t="n">
        <v>13</v>
      </c>
      <c r="B69" s="30" t="n">
        <v>319</v>
      </c>
      <c r="C69" s="30">
        <f>B69-A69-5-8-8</f>
        <v/>
      </c>
    </row>
    <row r="70" ht="13.5" customHeight="1" s="20">
      <c r="A70" s="30" t="n">
        <v>13</v>
      </c>
      <c r="B70" s="30" t="n">
        <v>310</v>
      </c>
      <c r="C70" s="30">
        <f>B70-A70-5-8-8</f>
        <v/>
      </c>
    </row>
    <row r="71" ht="13.5" customHeight="1" s="20">
      <c r="A71" s="30" t="n">
        <v>14</v>
      </c>
      <c r="B71" s="30" t="n">
        <v>313</v>
      </c>
      <c r="C71" s="30">
        <f>B71-A71-5-8-8</f>
        <v/>
      </c>
    </row>
    <row r="72" ht="13.5" customHeight="1" s="20">
      <c r="A72" s="30" t="n">
        <v>14</v>
      </c>
      <c r="B72" s="30" t="n">
        <v>287</v>
      </c>
      <c r="C72" s="30">
        <f>B72-A72-5-8-8</f>
        <v/>
      </c>
    </row>
    <row r="73" ht="13.5" customHeight="1" s="20">
      <c r="A73" s="30" t="n">
        <v>14</v>
      </c>
      <c r="B73" s="30" t="n">
        <v>321</v>
      </c>
      <c r="C73" s="30">
        <f>B73-A73-5-8-8</f>
        <v/>
      </c>
    </row>
    <row r="74" ht="13.5" customHeight="1" s="20">
      <c r="A74" s="30" t="n">
        <v>13</v>
      </c>
      <c r="B74" s="30" t="n">
        <v>291</v>
      </c>
      <c r="C74" s="30">
        <f>B74-A74-5-8-8</f>
        <v/>
      </c>
    </row>
    <row r="75" ht="13.5" customHeight="1" s="20">
      <c r="A75" s="30" t="n">
        <v>14</v>
      </c>
      <c r="B75" s="30" t="n">
        <v>295</v>
      </c>
      <c r="C75" s="30">
        <f>B75-A75-5-8-8</f>
        <v/>
      </c>
    </row>
    <row r="76" ht="13.5" customHeight="1" s="20">
      <c r="A76" s="30" t="n">
        <v>14</v>
      </c>
      <c r="B76" s="30" t="n">
        <v>315</v>
      </c>
      <c r="C76" s="30">
        <f>B76-A76-5-8-8</f>
        <v/>
      </c>
    </row>
    <row r="77" ht="13.5" customHeight="1" s="20">
      <c r="A77" s="30" t="n">
        <v>13</v>
      </c>
      <c r="B77" s="30" t="n">
        <v>303</v>
      </c>
      <c r="C77" s="30">
        <f>B77-A77-5-8-8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3" activeCellId="0" sqref="D23"/>
    </sheetView>
  </sheetViews>
  <sheetFormatPr baseColWidth="8" defaultColWidth="8.59765625" defaultRowHeight="13.5" zeroHeight="0" outlineLevelRow="0"/>
  <cols>
    <col width="14.44" customWidth="1" style="30" min="1" max="1"/>
  </cols>
  <sheetData>
    <row r="1" ht="13.5" customHeight="1" s="20">
      <c r="A1" s="31" t="inlineStr">
        <is>
          <t>状态</t>
        </is>
      </c>
      <c r="B1" s="30" t="n">
        <v>2.6</v>
      </c>
      <c r="C1" s="30" t="n">
        <v>2.65</v>
      </c>
    </row>
    <row r="2" ht="13.5" customHeight="1" s="20">
      <c r="A2" s="31" t="inlineStr">
        <is>
          <t>独裁技巧</t>
        </is>
      </c>
      <c r="B2" s="30" t="n">
        <v>9217</v>
      </c>
      <c r="C2" s="30" t="n">
        <v>9217</v>
      </c>
    </row>
    <row r="3" ht="13.5" customHeight="1" s="20">
      <c r="A3" s="31" t="inlineStr">
        <is>
          <t>独裁加技</t>
        </is>
      </c>
      <c r="B3" s="30">
        <f>ROUND(B2*0.45,0)</f>
        <v/>
      </c>
      <c r="C3" s="30">
        <f>ROUND(C2*0.45,0)</f>
        <v/>
      </c>
    </row>
    <row r="4" ht="13.5" customHeight="1" s="20">
      <c r="A4" s="31" t="inlineStr">
        <is>
          <t>独裁加技遗迹</t>
        </is>
      </c>
      <c r="B4" s="30">
        <f>ROUND(B3*B1,0)</f>
        <v/>
      </c>
      <c r="C4" s="30">
        <f>ROUND(C3*B1,0)</f>
        <v/>
      </c>
    </row>
    <row r="6" ht="13.5" customHeight="1" s="20">
      <c r="A6" s="31" t="inlineStr">
        <is>
          <t>传法技巧</t>
        </is>
      </c>
      <c r="B6" s="30" t="n">
        <v>7621</v>
      </c>
      <c r="C6" s="30" t="n">
        <v>7621</v>
      </c>
    </row>
    <row r="7" ht="13.5" customHeight="1" s="20">
      <c r="A7" s="31" t="inlineStr">
        <is>
          <t>传法加上独裁</t>
        </is>
      </c>
      <c r="B7" s="30">
        <f>B6+B4</f>
        <v/>
      </c>
      <c r="C7" s="30">
        <f>C6+C4</f>
        <v/>
      </c>
    </row>
    <row r="8" ht="13.5" customHeight="1" s="20">
      <c r="A8" s="31" t="inlineStr">
        <is>
          <t>传法绿龙</t>
        </is>
      </c>
      <c r="B8" s="30">
        <f>ROUND(B7*0.3,0)</f>
        <v/>
      </c>
      <c r="C8" s="30">
        <f>ROUND(B7*0.3,0)</f>
        <v/>
      </c>
    </row>
    <row r="9" ht="13.5" customHeight="1" s="20">
      <c r="A9" s="31" t="inlineStr">
        <is>
          <t>传法绿龙遗迹</t>
        </is>
      </c>
      <c r="B9" s="30">
        <f>ROUND(B8*B1,0)</f>
        <v/>
      </c>
      <c r="C9" s="30">
        <f>ROUND(C8*B1,0)</f>
        <v/>
      </c>
    </row>
    <row r="10" ht="13.5" customHeight="1" s="20">
      <c r="A10" s="31" t="inlineStr">
        <is>
          <t>传法最终技巧</t>
        </is>
      </c>
      <c r="B10" s="30">
        <f>B7+B9</f>
        <v/>
      </c>
      <c r="C10" s="30">
        <f>C7+C9</f>
        <v/>
      </c>
    </row>
    <row r="11" ht="13.5" customHeight="1" s="20">
      <c r="A11" s="31" t="inlineStr">
        <is>
          <t>传法加技</t>
        </is>
      </c>
      <c r="B11" s="30">
        <f>ROUND(B10*0.3+5,0)</f>
        <v/>
      </c>
      <c r="C11" s="30">
        <f>ROUND(C10*0.3+5,0)</f>
        <v/>
      </c>
    </row>
    <row r="12" ht="13.5" customHeight="1" s="20">
      <c r="A12" s="31" t="inlineStr">
        <is>
          <t>传法加技遗迹</t>
        </is>
      </c>
      <c r="B12" s="30">
        <f>ROUND(B11*B1,0)</f>
        <v/>
      </c>
      <c r="C12" s="30">
        <f>ROUND(C11*C1,0)</f>
        <v/>
      </c>
    </row>
    <row r="14" ht="13.5" customHeight="1" s="20">
      <c r="A14" s="31" t="inlineStr">
        <is>
          <t>夜莺技巧</t>
        </is>
      </c>
      <c r="B14" s="30" t="n">
        <v>10187</v>
      </c>
      <c r="C14" s="30" t="n">
        <v>10187</v>
      </c>
    </row>
    <row r="15" ht="13.5" customHeight="1" s="20">
      <c r="A15" s="31" t="inlineStr">
        <is>
          <t>夜莺加上独裁</t>
        </is>
      </c>
      <c r="B15" s="30">
        <f>B14+B4</f>
        <v/>
      </c>
      <c r="C15" s="30">
        <f>C14+C4</f>
        <v/>
      </c>
    </row>
    <row r="16" ht="13.5" customHeight="1" s="20">
      <c r="A16" s="31" t="inlineStr">
        <is>
          <t>匕首加技</t>
        </is>
      </c>
      <c r="B16" s="30">
        <f>ROUND(B15*1.2,0)</f>
        <v/>
      </c>
      <c r="C16" s="30">
        <f>ROUND(B15*1.2,0)</f>
        <v/>
      </c>
    </row>
    <row r="17" ht="13.5" customHeight="1" s="20">
      <c r="A17" s="31" t="inlineStr">
        <is>
          <t>匕首加技遗迹</t>
        </is>
      </c>
      <c r="B17" s="30">
        <f>ROUND(B16*B1,0)</f>
        <v/>
      </c>
      <c r="C17" s="30">
        <f>ROUND(C16*B1,0)</f>
        <v/>
      </c>
    </row>
    <row r="18" ht="13.5" customHeight="1" s="20">
      <c r="A18" s="31" t="inlineStr">
        <is>
          <t>夜莺技巧</t>
        </is>
      </c>
      <c r="B18" s="30">
        <f>B17+B12+B4+B14</f>
        <v/>
      </c>
      <c r="C18" s="30">
        <f>C17+C12+C4+C14</f>
        <v/>
      </c>
    </row>
    <row r="19" ht="13.5" customHeight="1" s="20">
      <c r="A19" s="31" t="inlineStr">
        <is>
          <t>出手增幅</t>
        </is>
      </c>
      <c r="B19" s="30">
        <f>ROUND(B18*1.5,0)</f>
        <v/>
      </c>
      <c r="C19" s="30">
        <f>ROUND(C18*1.5,0)</f>
        <v/>
      </c>
    </row>
    <row r="20" ht="13.5" customHeight="1" s="20">
      <c r="A20" s="31" t="inlineStr">
        <is>
          <t>技能系数</t>
        </is>
      </c>
      <c r="B20" s="30">
        <f>ROUND(B19*1.1+1,0)</f>
        <v/>
      </c>
      <c r="C20" s="30">
        <f>ROUND(C19*1.1+1,0)</f>
        <v/>
      </c>
    </row>
    <row r="21" ht="16.5" customHeight="1" s="20">
      <c r="A21" s="31" t="inlineStr">
        <is>
          <t>最终dot遗迹</t>
        </is>
      </c>
      <c r="B21" s="30">
        <f>ROUND(B20*B1,0)</f>
        <v/>
      </c>
      <c r="C21" s="30">
        <f>ROUND(C20*C1,0)</f>
        <v/>
      </c>
    </row>
    <row r="22" ht="13.5" customHeight="1" s="20">
      <c r="A22" s="31" t="inlineStr">
        <is>
          <t>环和战利品持续</t>
        </is>
      </c>
      <c r="B22" s="30">
        <f>ROUND(B21*1.01,0)</f>
        <v/>
      </c>
      <c r="C22" s="30">
        <f>ROUND(C21*1.01,0)</f>
        <v/>
      </c>
    </row>
    <row r="23" ht="13.5" customHeight="1" s="20">
      <c r="A23" s="31" t="inlineStr">
        <is>
          <t>徽印持续</t>
        </is>
      </c>
      <c r="B23" s="30">
        <f>ROUND(B22*1.1,0)</f>
        <v/>
      </c>
      <c r="C23" s="30">
        <f>ROUND(C22*1.1,0)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Joy Jam</dc:creator>
  <dc:language xmlns:dc="http://purl.org/dc/elements/1.1/">en-US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2026-06-22T08:06:43+00:00Z</dcterms:modified>
  <cp:revision>5</cp:revision>
</cp:coreProperties>
</file>