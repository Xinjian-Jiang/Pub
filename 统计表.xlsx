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原始统计数据" sheetId="1" state="visible" r:id="rId3"/>
    <sheet name="转职属性" sheetId="2" state="visible" r:id="rId4"/>
    <sheet name="复合" sheetId="3" state="visible" r:id="rId5"/>
    <sheet name="Sheet1" sheetId="4" state="visible" r:id="rId6"/>
  </sheets>
  <definedNames>
    <definedName function="false" hidden="true" localSheetId="0" name="_xlnm._FilterDatabase" vbProcedure="false">原始统计数据!$A$1:$R$3040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<sst xmlns="http://schemas.openxmlformats.org/spreadsheetml/2006/main" count="71" uniqueCount="63">
  <si>
    <t xml:space="preserve">模型</t>
  </si>
  <si>
    <t xml:space="preserve">转职</t>
  </si>
  <si>
    <r>
      <rPr>
        <b val="true"/>
        <sz val="11"/>
        <color theme="0"/>
        <rFont val="等线"/>
        <family val="3"/>
        <charset val="134"/>
      </rPr>
      <t xml:space="preserve">1</t>
    </r>
    <r>
      <rPr>
        <b val="true"/>
        <sz val="11"/>
        <color theme="0"/>
        <rFont val="Noto Sans CJK SC"/>
        <family val="2"/>
      </rPr>
      <t xml:space="preserve">星</t>
    </r>
    <r>
      <rPr>
        <b val="true"/>
        <sz val="11"/>
        <color theme="0"/>
        <rFont val="等线"/>
        <family val="3"/>
        <charset val="134"/>
      </rPr>
      <t xml:space="preserve">1</t>
    </r>
    <r>
      <rPr>
        <b val="true"/>
        <sz val="11"/>
        <color theme="0"/>
        <rFont val="Noto Sans CJK SC"/>
        <family val="2"/>
      </rPr>
      <t xml:space="preserve">级</t>
    </r>
  </si>
  <si>
    <r>
      <rPr>
        <b val="true"/>
        <sz val="11"/>
        <color theme="0"/>
        <rFont val="等线"/>
        <family val="3"/>
        <charset val="134"/>
      </rPr>
      <t xml:space="preserve">4</t>
    </r>
    <r>
      <rPr>
        <b val="true"/>
        <sz val="11"/>
        <color theme="0"/>
        <rFont val="Noto Sans CJK SC"/>
        <family val="2"/>
      </rPr>
      <t xml:space="preserve">星</t>
    </r>
    <r>
      <rPr>
        <b val="true"/>
        <sz val="11"/>
        <color theme="0"/>
        <rFont val="等线"/>
        <family val="3"/>
        <charset val="134"/>
      </rPr>
      <t xml:space="preserve">50</t>
    </r>
    <r>
      <rPr>
        <b val="true"/>
        <sz val="11"/>
        <color theme="0"/>
        <rFont val="Noto Sans CJK SC"/>
        <family val="2"/>
      </rPr>
      <t xml:space="preserve">级</t>
    </r>
  </si>
  <si>
    <t xml:space="preserve">模型占位</t>
  </si>
  <si>
    <r>
      <rPr>
        <b val="true"/>
        <sz val="11"/>
        <color theme="1"/>
        <rFont val="等线"/>
        <family val="3"/>
        <charset val="134"/>
      </rPr>
      <t xml:space="preserve">1</t>
    </r>
    <r>
      <rPr>
        <b val="true"/>
        <sz val="11"/>
        <color theme="1"/>
        <rFont val="Noto Sans CJK SC"/>
        <family val="2"/>
      </rPr>
      <t xml:space="preserve">星至</t>
    </r>
    <r>
      <rPr>
        <b val="true"/>
        <sz val="11"/>
        <color theme="1"/>
        <rFont val="等线"/>
        <family val="3"/>
        <charset val="134"/>
      </rPr>
      <t xml:space="preserve">4</t>
    </r>
    <r>
      <rPr>
        <b val="true"/>
        <sz val="11"/>
        <color theme="1"/>
        <rFont val="Noto Sans CJK SC"/>
        <family val="2"/>
      </rPr>
      <t xml:space="preserve">星转职属性加成</t>
    </r>
  </si>
  <si>
    <r>
      <rPr>
        <b val="true"/>
        <sz val="11"/>
        <color theme="1"/>
        <rFont val="等线"/>
        <family val="3"/>
        <charset val="134"/>
      </rPr>
      <t xml:space="preserve">1</t>
    </r>
    <r>
      <rPr>
        <b val="true"/>
        <sz val="11"/>
        <color theme="1"/>
        <rFont val="Noto Sans CJK SC"/>
        <family val="2"/>
      </rPr>
      <t xml:space="preserve">星至日阶转职属性加成</t>
    </r>
  </si>
  <si>
    <t xml:space="preserve">力</t>
  </si>
  <si>
    <t xml:space="preserve">魔</t>
  </si>
  <si>
    <t xml:space="preserve">技</t>
  </si>
  <si>
    <t xml:space="preserve">速</t>
  </si>
  <si>
    <t xml:space="preserve">体</t>
  </si>
  <si>
    <t xml:space="preserve">甲</t>
  </si>
  <si>
    <t xml:space="preserve">抗</t>
  </si>
  <si>
    <t xml:space="preserve">剑宗</t>
  </si>
  <si>
    <t xml:space="preserve">剑豪</t>
  </si>
  <si>
    <t xml:space="preserve">剑魔</t>
  </si>
  <si>
    <t xml:space="preserve">圣龙将军</t>
  </si>
  <si>
    <t xml:space="preserve">黑骑士</t>
  </si>
  <si>
    <t xml:space="preserve">传奇法师</t>
  </si>
  <si>
    <t xml:space="preserve">岩浆法师</t>
  </si>
  <si>
    <t xml:space="preserve">霜寒法师</t>
  </si>
  <si>
    <t xml:space="preserve">血法师</t>
  </si>
  <si>
    <t xml:space="preserve">幻境先知</t>
  </si>
  <si>
    <t xml:space="preserve">虚空法师</t>
  </si>
  <si>
    <t xml:space="preserve">大巫医</t>
  </si>
  <si>
    <t xml:space="preserve">灵魂贤者</t>
  </si>
  <si>
    <t xml:space="preserve">教宗</t>
  </si>
  <si>
    <t xml:space="preserve">圣光贤者</t>
  </si>
  <si>
    <t xml:space="preserve">圣殿骑士</t>
  </si>
  <si>
    <t xml:space="preserve">神官骑士</t>
  </si>
  <si>
    <t xml:space="preserve">诡术大师</t>
  </si>
  <si>
    <t xml:space="preserve">幻术刺客</t>
  </si>
  <si>
    <t xml:space="preserve">夜莺</t>
  </si>
  <si>
    <t xml:space="preserve">夜魇</t>
  </si>
  <si>
    <t xml:space="preserve">圣枪侠</t>
  </si>
  <si>
    <t xml:space="preserve">烈枪侠</t>
  </si>
  <si>
    <t xml:space="preserve">传奇猎人</t>
  </si>
  <si>
    <t xml:space="preserve">巨龙猎人</t>
  </si>
  <si>
    <t xml:space="preserve">狂战神</t>
  </si>
  <si>
    <t xml:space="preserve">蛮荒之王</t>
  </si>
  <si>
    <t xml:space="preserve">火刑官</t>
  </si>
  <si>
    <t xml:space="preserve">毁灭者</t>
  </si>
  <si>
    <t xml:space="preserve">状态</t>
  </si>
  <si>
    <t xml:space="preserve">独裁技巧</t>
  </si>
  <si>
    <t xml:space="preserve">独裁加技</t>
  </si>
  <si>
    <t xml:space="preserve">独裁加技遗迹</t>
  </si>
  <si>
    <t xml:space="preserve">传法技巧</t>
  </si>
  <si>
    <t xml:space="preserve">传法加上独裁</t>
  </si>
  <si>
    <t xml:space="preserve">传法绿龙</t>
  </si>
  <si>
    <t xml:space="preserve">传法绿龙遗迹</t>
  </si>
  <si>
    <t xml:space="preserve">传法最终技巧</t>
  </si>
  <si>
    <t xml:space="preserve">传法加技</t>
  </si>
  <si>
    <t xml:space="preserve">传法加技遗迹</t>
  </si>
  <si>
    <t xml:space="preserve">夜莺技巧</t>
  </si>
  <si>
    <t xml:space="preserve">夜莺加上独裁</t>
  </si>
  <si>
    <t xml:space="preserve">匕首加技</t>
  </si>
  <si>
    <t xml:space="preserve">匕首加技遗迹</t>
  </si>
  <si>
    <t xml:space="preserve">出手增幅</t>
  </si>
  <si>
    <t xml:space="preserve">技能系数</t>
  </si>
  <si>
    <t xml:space="preserve">最终dot遗迹</t>
  </si>
  <si>
    <t xml:space="preserve">环和战利品持续</t>
  </si>
  <si>
    <t xml:space="preserve">徽印持续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</si>
</sst>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0"/>
      <name val="Noto Sans CJK SC"/>
      <family val="2"/>
      <charset val="1"/>
    </font>
    <font>
      <b val="true"/>
      <sz val="11"/>
      <color theme="0"/>
      <name val="等线"/>
      <family val="3"/>
      <charset val="134"/>
    </font>
    <font>
      <b val="true"/>
      <sz val="11"/>
      <color theme="0"/>
      <name val="Noto Sans CJK SC"/>
      <family val="2"/>
    </font>
    <font>
      <sz val="11"/>
      <color theme="1"/>
      <name val="Noto Sans CJK SC"/>
      <family val="2"/>
      <charset val="1"/>
    </font>
    <font>
      <b val="true"/>
      <sz val="11"/>
      <color theme="1"/>
      <name val="等线"/>
      <family val="3"/>
      <charset val="134"/>
    </font>
    <font>
      <b val="true"/>
      <sz val="11"/>
      <color theme="1"/>
      <name val="Noto Sans CJK SC"/>
      <family val="2"/>
    </font>
    <font>
      <b val="true"/>
      <sz val="11"/>
      <color theme="1"/>
      <name val="Noto Sans CJK SC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1"/>
        <bgColor rgb="FF003300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0000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R4" activeCellId="0" sqref="R4"/>
    </sheetView>
  </sheetViews>
  <sheetFormatPr defaultColWidth="8.890625" defaultRowHeight="13.5" zeroHeight="false" outlineLevelRow="0" outlineLevelCol="0"/>
  <cols>
    <col collapsed="false" customWidth="false" hidden="false" outlineLevel="0" max="16384" min="1" style="1" width="8.89"/>
  </cols>
  <sheetData>
    <row r="1" s="3" customFormat="true" ht="16.5" hidden="false" customHeight="true" outlineLevel="0" collapsed="false">
      <c r="A1" s="2" t="s">
        <v>0</v>
      </c>
      <c r="B1" s="2" t="s">
        <v>1</v>
      </c>
      <c r="C1" s="3" t="s">
        <v>2</v>
      </c>
      <c r="K1" s="3" t="s">
        <v>3</v>
      </c>
    </row>
    <row r="2" s="3" customFormat="true" ht="13.5" hidden="false" customHeight="true" outlineLevel="0" collapsed="false">
      <c r="A2" s="2"/>
      <c r="B2" s="2"/>
    </row>
    <row r="3" customFormat="false" ht="13.5" hidden="false" customHeight="true" outlineLevel="0" collapsed="false">
      <c r="A3" s="4" t="s">
        <v>4</v>
      </c>
    </row>
    <row r="4" customFormat="false" ht="13.5" hidden="false" customHeight="true" outlineLevel="0" collapsed="false"/>
    <row r="5" customFormat="false" ht="13.5" hidden="false" customHeight="true" outlineLevel="0" collapsed="false"/>
    <row r="6" customFormat="false" ht="13.5" hidden="false" customHeight="true" outlineLevel="0" collapsed="false"/>
    <row r="7" customFormat="false" ht="13.5" hidden="false" customHeight="true" outlineLevel="0" collapsed="false"/>
  </sheetData>
  <autoFilter ref="A1:R3040"/>
  <mergeCells count="4">
    <mergeCell ref="A1:A2"/>
    <mergeCell ref="B1:B2"/>
    <mergeCell ref="C1:J1"/>
    <mergeCell ref="K1:R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P25" activeCellId="0" sqref="P25"/>
    </sheetView>
  </sheetViews>
  <sheetFormatPr defaultColWidth="8.890625" defaultRowHeight="13.5" zeroHeight="false" outlineLevelRow="0" outlineLevelCol="0"/>
  <cols>
    <col collapsed="false" customWidth="false" hidden="false" outlineLevel="0" max="16384" min="1" style="5" width="8.89"/>
  </cols>
  <sheetData>
    <row r="1" customFormat="false" ht="16.5" hidden="false" customHeight="true" outlineLevel="0" collapsed="false">
      <c r="A1" s="6"/>
      <c r="B1" s="7" t="s">
        <v>5</v>
      </c>
      <c r="C1" s="7"/>
      <c r="D1" s="7"/>
      <c r="E1" s="7"/>
      <c r="F1" s="7"/>
      <c r="G1" s="7"/>
      <c r="H1" s="7"/>
      <c r="I1" s="7" t="s">
        <v>6</v>
      </c>
      <c r="J1" s="7"/>
      <c r="K1" s="7"/>
      <c r="L1" s="7"/>
      <c r="M1" s="7"/>
      <c r="N1" s="7"/>
      <c r="O1" s="7"/>
    </row>
    <row r="2" customFormat="false" ht="13.5" hidden="false" customHeight="true" outlineLevel="0" collapsed="false">
      <c r="A2" s="6"/>
      <c r="B2" s="8" t="s">
        <v>7</v>
      </c>
      <c r="C2" s="8" t="s">
        <v>8</v>
      </c>
      <c r="D2" s="8" t="s">
        <v>9</v>
      </c>
      <c r="E2" s="8" t="s">
        <v>10</v>
      </c>
      <c r="F2" s="8" t="s">
        <v>11</v>
      </c>
      <c r="G2" s="8" t="s">
        <v>12</v>
      </c>
      <c r="H2" s="8" t="s">
        <v>13</v>
      </c>
      <c r="I2" s="8" t="s">
        <v>7</v>
      </c>
      <c r="J2" s="8" t="s">
        <v>8</v>
      </c>
      <c r="K2" s="8" t="s">
        <v>9</v>
      </c>
      <c r="L2" s="8" t="s">
        <v>10</v>
      </c>
      <c r="M2" s="8" t="s">
        <v>11</v>
      </c>
      <c r="N2" s="8" t="s">
        <v>12</v>
      </c>
      <c r="O2" s="8" t="s">
        <v>13</v>
      </c>
    </row>
    <row r="3" customFormat="false" ht="13.5" hidden="false" customHeight="true" outlineLevel="0" collapsed="false">
      <c r="A3" s="9" t="s">
        <v>14</v>
      </c>
    </row>
    <row r="4" customFormat="false" ht="13.5" hidden="false" customHeight="true" outlineLevel="0" collapsed="false">
      <c r="A4" s="9" t="s">
        <v>15</v>
      </c>
    </row>
    <row r="5" customFormat="false" ht="13.5" hidden="false" customHeight="true" outlineLevel="0" collapsed="false">
      <c r="A5" s="9" t="s">
        <v>16</v>
      </c>
    </row>
    <row r="6" customFormat="false" ht="13.5" hidden="false" customHeight="true" outlineLevel="0" collapsed="false">
      <c r="A6" s="9" t="s">
        <v>17</v>
      </c>
    </row>
    <row r="7" customFormat="false" ht="13.5" hidden="false" customHeight="true" outlineLevel="0" collapsed="false">
      <c r="A7" s="9" t="s">
        <v>18</v>
      </c>
    </row>
    <row r="8" customFormat="false" ht="13.5" hidden="false" customHeight="true" outlineLevel="0" collapsed="false">
      <c r="A8" s="9" t="s">
        <v>19</v>
      </c>
    </row>
    <row r="9" customFormat="false" ht="13.5" hidden="false" customHeight="true" outlineLevel="0" collapsed="false">
      <c r="A9" s="9" t="s">
        <v>20</v>
      </c>
    </row>
    <row r="10" customFormat="false" ht="13.5" hidden="false" customHeight="true" outlineLevel="0" collapsed="false">
      <c r="A10" s="9" t="s">
        <v>21</v>
      </c>
    </row>
    <row r="11" customFormat="false" ht="13.5" hidden="false" customHeight="true" outlineLevel="0" collapsed="false">
      <c r="A11" s="9" t="s">
        <v>22</v>
      </c>
    </row>
    <row r="12" customFormat="false" ht="13.5" hidden="false" customHeight="true" outlineLevel="0" collapsed="false">
      <c r="A12" s="9" t="s">
        <v>23</v>
      </c>
    </row>
    <row r="13" customFormat="false" ht="13.5" hidden="false" customHeight="true" outlineLevel="0" collapsed="false">
      <c r="A13" s="9" t="s">
        <v>24</v>
      </c>
    </row>
    <row r="14" customFormat="false" ht="13.5" hidden="false" customHeight="true" outlineLevel="0" collapsed="false">
      <c r="A14" s="9" t="s">
        <v>25</v>
      </c>
    </row>
    <row r="15" customFormat="false" ht="13.5" hidden="false" customHeight="true" outlineLevel="0" collapsed="false">
      <c r="A15" s="9" t="s">
        <v>26</v>
      </c>
    </row>
    <row r="16" customFormat="false" ht="13.5" hidden="false" customHeight="true" outlineLevel="0" collapsed="false">
      <c r="A16" s="9" t="s">
        <v>27</v>
      </c>
    </row>
    <row r="17" customFormat="false" ht="13.5" hidden="false" customHeight="true" outlineLevel="0" collapsed="false">
      <c r="A17" s="9" t="s">
        <v>28</v>
      </c>
    </row>
    <row r="18" customFormat="false" ht="13.5" hidden="false" customHeight="true" outlineLevel="0" collapsed="false">
      <c r="A18" s="9" t="s">
        <v>29</v>
      </c>
    </row>
    <row r="19" customFormat="false" ht="13.5" hidden="false" customHeight="true" outlineLevel="0" collapsed="false">
      <c r="A19" s="9" t="s">
        <v>30</v>
      </c>
    </row>
    <row r="20" customFormat="false" ht="13.5" hidden="false" customHeight="true" outlineLevel="0" collapsed="false">
      <c r="A20" s="9" t="s">
        <v>31</v>
      </c>
    </row>
    <row r="21" customFormat="false" ht="13.5" hidden="false" customHeight="true" outlineLevel="0" collapsed="false">
      <c r="A21" s="9" t="s">
        <v>32</v>
      </c>
    </row>
    <row r="22" customFormat="false" ht="13.5" hidden="false" customHeight="true" outlineLevel="0" collapsed="false">
      <c r="A22" s="9" t="s">
        <v>33</v>
      </c>
    </row>
    <row r="23" customFormat="false" ht="13.5" hidden="false" customHeight="true" outlineLevel="0" collapsed="false">
      <c r="A23" s="9" t="s">
        <v>34</v>
      </c>
    </row>
    <row r="24" customFormat="false" ht="13.5" hidden="false" customHeight="true" outlineLevel="0" collapsed="false">
      <c r="A24" s="9" t="s">
        <v>35</v>
      </c>
    </row>
    <row r="25" customFormat="false" ht="13.5" hidden="false" customHeight="true" outlineLevel="0" collapsed="false">
      <c r="A25" s="10" t="s">
        <v>36</v>
      </c>
    </row>
    <row r="26" customFormat="false" ht="13.5" hidden="false" customHeight="true" outlineLevel="0" collapsed="false">
      <c r="A26" s="9" t="s">
        <v>37</v>
      </c>
    </row>
    <row r="27" customFormat="false" ht="13.5" hidden="false" customHeight="true" outlineLevel="0" collapsed="false">
      <c r="A27" s="9" t="s">
        <v>38</v>
      </c>
    </row>
    <row r="28" customFormat="false" ht="13.5" hidden="false" customHeight="true" outlineLevel="0" collapsed="false">
      <c r="A28" s="9" t="s">
        <v>39</v>
      </c>
    </row>
    <row r="29" customFormat="false" ht="13.5" hidden="false" customHeight="true" outlineLevel="0" collapsed="false">
      <c r="A29" s="9" t="s">
        <v>40</v>
      </c>
    </row>
    <row r="30" customFormat="false" ht="13.5" hidden="false" customHeight="true" outlineLevel="0" collapsed="false">
      <c r="A30" s="9" t="s">
        <v>41</v>
      </c>
    </row>
    <row r="31" customFormat="false" ht="13.5" hidden="false" customHeight="true" outlineLevel="0" collapsed="false">
      <c r="A31" s="9" t="s">
        <v>42</v>
      </c>
    </row>
    <row r="32" customFormat="false" ht="13.5" hidden="false" customHeight="true" outlineLevel="0" collapsed="false">
      <c r="A32" s="11"/>
    </row>
    <row r="33" customFormat="false" ht="13.5" hidden="false" customHeight="true" outlineLevel="0" collapsed="false">
      <c r="A33" s="11"/>
    </row>
  </sheetData>
  <mergeCells count="3">
    <mergeCell ref="A1:A2"/>
    <mergeCell ref="B1:H1"/>
    <mergeCell ref="I1:O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" activeCellId="0" sqref="D1"/>
    </sheetView>
  </sheetViews>
  <sheetFormatPr defaultColWidth="8.59765625" defaultRowHeight="13.5" zeroHeight="false" outlineLevelRow="0" outlineLevelCol="0"/>
  <cols>
    <col collapsed="false" customWidth="true" hidden="false" outlineLevel="0" max="4" min="4" style="12" width="9.11"/>
  </cols>
  <sheetData>
    <row r="1" customFormat="false" ht="13.5" hidden="false" customHeight="true" outlineLevel="0" collapsed="false">
      <c r="A1" s="12" t="n">
        <v>13</v>
      </c>
      <c r="B1" s="12" t="n">
        <v>308</v>
      </c>
      <c r="C1" s="12" t="n">
        <f aca="false">B1-A1-5-8-8</f>
        <v>274</v>
      </c>
      <c r="D1" s="12" t="str">
        <f aca="false">_xlfn.TEXTJOIN(", ",TRUE(),C1:C77)</f>
        <v>274, 257, 257, 248, 286, 257, 252, 256, 258, 258, 255, 260, 217, 266, 254, 265, 279, 265, 273, 260, 268, 255, 304, 259, 281, 246, 253, 274, 253, 277, 251, 245, 248, 267, 270, 248, 256, 273, 259, 264, 275, 261, 273, 293, 246, 263, 280, 238, 278, 251, 274, 256, 274, 285, 250, 283, 252, 284, 269, 261, 270, 271, 244, 265, 244, 274, 260, 266, 285, 276, 278, 252, 286, 257, 260, 280, 269</v>
      </c>
    </row>
    <row r="2" customFormat="false" ht="13.5" hidden="false" customHeight="true" outlineLevel="0" collapsed="false">
      <c r="A2" s="12" t="n">
        <v>13</v>
      </c>
      <c r="B2" s="12" t="n">
        <v>291</v>
      </c>
      <c r="C2" s="12" t="n">
        <f aca="false">B2-A2-5-8-8</f>
        <v>257</v>
      </c>
    </row>
    <row r="3" customFormat="false" ht="13.5" hidden="false" customHeight="true" outlineLevel="0" collapsed="false">
      <c r="A3" s="12" t="n">
        <v>14</v>
      </c>
      <c r="B3" s="12" t="n">
        <v>292</v>
      </c>
      <c r="C3" s="12" t="n">
        <f aca="false">B3-A3-5-8-8</f>
        <v>257</v>
      </c>
    </row>
    <row r="4" customFormat="false" ht="13.5" hidden="false" customHeight="true" outlineLevel="0" collapsed="false">
      <c r="A4" s="12" t="n">
        <v>13</v>
      </c>
      <c r="B4" s="12" t="n">
        <v>282</v>
      </c>
      <c r="C4" s="12" t="n">
        <f aca="false">B4-A4-5-8-8</f>
        <v>248</v>
      </c>
    </row>
    <row r="5" customFormat="false" ht="13.5" hidden="false" customHeight="true" outlineLevel="0" collapsed="false">
      <c r="A5" s="12" t="n">
        <v>14</v>
      </c>
      <c r="B5" s="12" t="n">
        <v>321</v>
      </c>
      <c r="C5" s="12" t="n">
        <f aca="false">B5-A5-5-8-8</f>
        <v>286</v>
      </c>
    </row>
    <row r="6" customFormat="false" ht="13.5" hidden="false" customHeight="true" outlineLevel="0" collapsed="false">
      <c r="A6" s="12" t="n">
        <v>14</v>
      </c>
      <c r="B6" s="12" t="n">
        <v>292</v>
      </c>
      <c r="C6" s="12" t="n">
        <f aca="false">B6-A6-5-8-8</f>
        <v>257</v>
      </c>
    </row>
    <row r="7" customFormat="false" ht="13.5" hidden="false" customHeight="true" outlineLevel="0" collapsed="false">
      <c r="A7" s="12" t="n">
        <v>13</v>
      </c>
      <c r="B7" s="12" t="n">
        <v>286</v>
      </c>
      <c r="C7" s="12" t="n">
        <f aca="false">B7-A7-5-8-8</f>
        <v>252</v>
      </c>
    </row>
    <row r="8" customFormat="false" ht="13.5" hidden="false" customHeight="true" outlineLevel="0" collapsed="false">
      <c r="A8" s="12" t="n">
        <v>13</v>
      </c>
      <c r="B8" s="12" t="n">
        <v>290</v>
      </c>
      <c r="C8" s="12" t="n">
        <f aca="false">B8-A8-5-8-8</f>
        <v>256</v>
      </c>
    </row>
    <row r="9" customFormat="false" ht="13.5" hidden="false" customHeight="true" outlineLevel="0" collapsed="false">
      <c r="A9" s="12" t="n">
        <v>14</v>
      </c>
      <c r="B9" s="12" t="n">
        <v>293</v>
      </c>
      <c r="C9" s="12" t="n">
        <f aca="false">B9-A9-5-8-8</f>
        <v>258</v>
      </c>
    </row>
    <row r="10" customFormat="false" ht="13.5" hidden="false" customHeight="true" outlineLevel="0" collapsed="false">
      <c r="A10" s="12" t="n">
        <v>14</v>
      </c>
      <c r="B10" s="12" t="n">
        <v>293</v>
      </c>
      <c r="C10" s="12" t="n">
        <f aca="false">B10-A10-5-8-8</f>
        <v>258</v>
      </c>
    </row>
    <row r="11" customFormat="false" ht="13.5" hidden="false" customHeight="true" outlineLevel="0" collapsed="false">
      <c r="A11" s="12" t="n">
        <v>13</v>
      </c>
      <c r="B11" s="12" t="n">
        <v>289</v>
      </c>
      <c r="C11" s="12" t="n">
        <f aca="false">B11-A11-5-8-8</f>
        <v>255</v>
      </c>
    </row>
    <row r="12" customFormat="false" ht="13.5" hidden="false" customHeight="true" outlineLevel="0" collapsed="false">
      <c r="A12" s="12" t="n">
        <v>14</v>
      </c>
      <c r="B12" s="12" t="n">
        <v>295</v>
      </c>
      <c r="C12" s="12" t="n">
        <f aca="false">B12-A12-5-8-8</f>
        <v>260</v>
      </c>
    </row>
    <row r="13" customFormat="false" ht="13.5" hidden="false" customHeight="true" outlineLevel="0" collapsed="false">
      <c r="A13" s="12" t="n">
        <v>13</v>
      </c>
      <c r="B13" s="12" t="n">
        <v>251</v>
      </c>
      <c r="C13" s="12" t="n">
        <f aca="false">B13-A13-5-8-8</f>
        <v>217</v>
      </c>
    </row>
    <row r="14" customFormat="false" ht="13.5" hidden="false" customHeight="true" outlineLevel="0" collapsed="false">
      <c r="A14" s="12" t="n">
        <v>13</v>
      </c>
      <c r="B14" s="12" t="n">
        <v>300</v>
      </c>
      <c r="C14" s="12" t="n">
        <f aca="false">B14-A14-5-8-8</f>
        <v>266</v>
      </c>
    </row>
    <row r="15" customFormat="false" ht="13.5" hidden="false" customHeight="true" outlineLevel="0" collapsed="false">
      <c r="A15" s="12" t="n">
        <v>14</v>
      </c>
      <c r="B15" s="12" t="n">
        <v>289</v>
      </c>
      <c r="C15" s="12" t="n">
        <f aca="false">B15-A15-5-8-8</f>
        <v>254</v>
      </c>
    </row>
    <row r="16" customFormat="false" ht="13.5" hidden="false" customHeight="true" outlineLevel="0" collapsed="false">
      <c r="A16" s="12" t="n">
        <v>13</v>
      </c>
      <c r="B16" s="12" t="n">
        <v>299</v>
      </c>
      <c r="C16" s="12" t="n">
        <f aca="false">B16-A16-5-8-8</f>
        <v>265</v>
      </c>
    </row>
    <row r="17" customFormat="false" ht="13.5" hidden="false" customHeight="true" outlineLevel="0" collapsed="false">
      <c r="A17" s="12" t="n">
        <v>13</v>
      </c>
      <c r="B17" s="12" t="n">
        <v>313</v>
      </c>
      <c r="C17" s="12" t="n">
        <f aca="false">B17-A17-5-8-8</f>
        <v>279</v>
      </c>
    </row>
    <row r="18" customFormat="false" ht="13.5" hidden="false" customHeight="true" outlineLevel="0" collapsed="false">
      <c r="A18" s="12" t="n">
        <v>13</v>
      </c>
      <c r="B18" s="12" t="n">
        <v>299</v>
      </c>
      <c r="C18" s="12" t="n">
        <f aca="false">B18-A18-5-8-8</f>
        <v>265</v>
      </c>
    </row>
    <row r="19" customFormat="false" ht="13.5" hidden="false" customHeight="true" outlineLevel="0" collapsed="false">
      <c r="A19" s="12" t="n">
        <v>13</v>
      </c>
      <c r="B19" s="12" t="n">
        <v>307</v>
      </c>
      <c r="C19" s="12" t="n">
        <f aca="false">B19-A19-5-8-8</f>
        <v>273</v>
      </c>
    </row>
    <row r="20" customFormat="false" ht="13.5" hidden="false" customHeight="true" outlineLevel="0" collapsed="false">
      <c r="A20" s="12" t="n">
        <v>14</v>
      </c>
      <c r="B20" s="12" t="n">
        <v>295</v>
      </c>
      <c r="C20" s="12" t="n">
        <f aca="false">B20-A20-5-8-8</f>
        <v>260</v>
      </c>
    </row>
    <row r="21" customFormat="false" ht="13.5" hidden="false" customHeight="true" outlineLevel="0" collapsed="false">
      <c r="A21" s="12" t="n">
        <v>14</v>
      </c>
      <c r="B21" s="12" t="n">
        <v>303</v>
      </c>
      <c r="C21" s="12" t="n">
        <f aca="false">B21-A21-5-8-8</f>
        <v>268</v>
      </c>
    </row>
    <row r="22" customFormat="false" ht="13.5" hidden="false" customHeight="true" outlineLevel="0" collapsed="false">
      <c r="A22" s="12" t="n">
        <v>14</v>
      </c>
      <c r="B22" s="12" t="n">
        <v>290</v>
      </c>
      <c r="C22" s="12" t="n">
        <f aca="false">B22-A22-5-8-8</f>
        <v>255</v>
      </c>
    </row>
    <row r="23" customFormat="false" ht="13.5" hidden="false" customHeight="true" outlineLevel="0" collapsed="false">
      <c r="A23" s="12" t="n">
        <v>14</v>
      </c>
      <c r="B23" s="12" t="n">
        <v>339</v>
      </c>
      <c r="C23" s="12" t="n">
        <f aca="false">B23-A23-5-8-8</f>
        <v>304</v>
      </c>
    </row>
    <row r="24" customFormat="false" ht="13.5" hidden="false" customHeight="true" outlineLevel="0" collapsed="false">
      <c r="A24" s="12" t="n">
        <v>13</v>
      </c>
      <c r="B24" s="12" t="n">
        <v>293</v>
      </c>
      <c r="C24" s="12" t="n">
        <f aca="false">B24-A24-5-8-8</f>
        <v>259</v>
      </c>
    </row>
    <row r="25" customFormat="false" ht="13.5" hidden="false" customHeight="true" outlineLevel="0" collapsed="false">
      <c r="A25" s="12" t="n">
        <v>14</v>
      </c>
      <c r="B25" s="12" t="n">
        <v>316</v>
      </c>
      <c r="C25" s="12" t="n">
        <f aca="false">B25-A25-5-8-8</f>
        <v>281</v>
      </c>
    </row>
    <row r="26" customFormat="false" ht="13.5" hidden="false" customHeight="true" outlineLevel="0" collapsed="false">
      <c r="A26" s="12" t="n">
        <v>14</v>
      </c>
      <c r="B26" s="12" t="n">
        <v>281</v>
      </c>
      <c r="C26" s="12" t="n">
        <f aca="false">B26-A26-5-8-8</f>
        <v>246</v>
      </c>
    </row>
    <row r="27" customFormat="false" ht="13.5" hidden="false" customHeight="true" outlineLevel="0" collapsed="false">
      <c r="A27" s="12" t="n">
        <v>13</v>
      </c>
      <c r="B27" s="12" t="n">
        <v>287</v>
      </c>
      <c r="C27" s="12" t="n">
        <f aca="false">B27-A27-5-8-8</f>
        <v>253</v>
      </c>
    </row>
    <row r="28" customFormat="false" ht="13.5" hidden="false" customHeight="true" outlineLevel="0" collapsed="false">
      <c r="A28" s="12" t="n">
        <v>14</v>
      </c>
      <c r="B28" s="12" t="n">
        <v>309</v>
      </c>
      <c r="C28" s="12" t="n">
        <f aca="false">B28-A28-5-8-8</f>
        <v>274</v>
      </c>
    </row>
    <row r="29" customFormat="false" ht="13.5" hidden="false" customHeight="true" outlineLevel="0" collapsed="false">
      <c r="A29" s="12" t="n">
        <v>13</v>
      </c>
      <c r="B29" s="12" t="n">
        <v>287</v>
      </c>
      <c r="C29" s="12" t="n">
        <f aca="false">B29-A29-5-8-8</f>
        <v>253</v>
      </c>
    </row>
    <row r="30" customFormat="false" ht="13.5" hidden="false" customHeight="true" outlineLevel="0" collapsed="false">
      <c r="A30" s="12" t="n">
        <v>14</v>
      </c>
      <c r="B30" s="12" t="n">
        <v>312</v>
      </c>
      <c r="C30" s="12" t="n">
        <f aca="false">B30-A30-5-8-8</f>
        <v>277</v>
      </c>
    </row>
    <row r="31" customFormat="false" ht="13.5" hidden="false" customHeight="true" outlineLevel="0" collapsed="false">
      <c r="A31" s="12" t="n">
        <v>13</v>
      </c>
      <c r="B31" s="12" t="n">
        <v>285</v>
      </c>
      <c r="C31" s="12" t="n">
        <f aca="false">B31-A31-5-8-8</f>
        <v>251</v>
      </c>
    </row>
    <row r="32" customFormat="false" ht="13.5" hidden="false" customHeight="true" outlineLevel="0" collapsed="false">
      <c r="A32" s="12" t="n">
        <v>14</v>
      </c>
      <c r="B32" s="12" t="n">
        <v>280</v>
      </c>
      <c r="C32" s="12" t="n">
        <f aca="false">B32-A32-5-8-8</f>
        <v>245</v>
      </c>
    </row>
    <row r="33" customFormat="false" ht="13.5" hidden="false" customHeight="true" outlineLevel="0" collapsed="false">
      <c r="A33" s="12" t="n">
        <v>13</v>
      </c>
      <c r="B33" s="12" t="n">
        <v>282</v>
      </c>
      <c r="C33" s="12" t="n">
        <f aca="false">B33-A33-5-8-8</f>
        <v>248</v>
      </c>
    </row>
    <row r="34" customFormat="false" ht="13.5" hidden="false" customHeight="true" outlineLevel="0" collapsed="false">
      <c r="A34" s="12" t="n">
        <v>13</v>
      </c>
      <c r="B34" s="12" t="n">
        <v>301</v>
      </c>
      <c r="C34" s="12" t="n">
        <f aca="false">B34-A34-5-8-8</f>
        <v>267</v>
      </c>
    </row>
    <row r="35" customFormat="false" ht="13.5" hidden="false" customHeight="true" outlineLevel="0" collapsed="false">
      <c r="A35" s="12" t="n">
        <v>14</v>
      </c>
      <c r="B35" s="12" t="n">
        <v>305</v>
      </c>
      <c r="C35" s="12" t="n">
        <f aca="false">B35-A35-5-8-8</f>
        <v>270</v>
      </c>
    </row>
    <row r="36" customFormat="false" ht="13.5" hidden="false" customHeight="true" outlineLevel="0" collapsed="false">
      <c r="A36" s="12" t="n">
        <v>13</v>
      </c>
      <c r="B36" s="12" t="n">
        <v>282</v>
      </c>
      <c r="C36" s="12" t="n">
        <f aca="false">B36-A36-5-8-8</f>
        <v>248</v>
      </c>
    </row>
    <row r="37" customFormat="false" ht="13.5" hidden="false" customHeight="true" outlineLevel="0" collapsed="false">
      <c r="A37" s="12" t="n">
        <v>13</v>
      </c>
      <c r="B37" s="12" t="n">
        <v>290</v>
      </c>
      <c r="C37" s="12" t="n">
        <f aca="false">B37-A37-5-8-8</f>
        <v>256</v>
      </c>
    </row>
    <row r="38" customFormat="false" ht="13.5" hidden="false" customHeight="true" outlineLevel="0" collapsed="false">
      <c r="A38" s="12" t="n">
        <v>14</v>
      </c>
      <c r="B38" s="12" t="n">
        <v>308</v>
      </c>
      <c r="C38" s="12" t="n">
        <f aca="false">B38-A38-5-8-8</f>
        <v>273</v>
      </c>
    </row>
    <row r="39" customFormat="false" ht="13.5" hidden="false" customHeight="true" outlineLevel="0" collapsed="false">
      <c r="A39" s="12" t="n">
        <v>13</v>
      </c>
      <c r="B39" s="12" t="n">
        <v>293</v>
      </c>
      <c r="C39" s="12" t="n">
        <f aca="false">B39-A39-5-8-8</f>
        <v>259</v>
      </c>
    </row>
    <row r="40" customFormat="false" ht="13.5" hidden="false" customHeight="true" outlineLevel="0" collapsed="false">
      <c r="A40" s="12" t="n">
        <v>13</v>
      </c>
      <c r="B40" s="12" t="n">
        <v>298</v>
      </c>
      <c r="C40" s="12" t="n">
        <f aca="false">B40-A40-5-8-8</f>
        <v>264</v>
      </c>
    </row>
    <row r="41" customFormat="false" ht="13.5" hidden="false" customHeight="true" outlineLevel="0" collapsed="false">
      <c r="A41" s="12" t="n">
        <v>13</v>
      </c>
      <c r="B41" s="12" t="n">
        <v>309</v>
      </c>
      <c r="C41" s="12" t="n">
        <f aca="false">B41-A41-5-8-8</f>
        <v>275</v>
      </c>
    </row>
    <row r="42" customFormat="false" ht="13.5" hidden="false" customHeight="true" outlineLevel="0" collapsed="false">
      <c r="A42" s="12" t="n">
        <v>14</v>
      </c>
      <c r="B42" s="12" t="n">
        <v>296</v>
      </c>
      <c r="C42" s="12" t="n">
        <f aca="false">B42-A42-5-8-8</f>
        <v>261</v>
      </c>
    </row>
    <row r="43" customFormat="false" ht="13.5" hidden="false" customHeight="true" outlineLevel="0" collapsed="false">
      <c r="A43" s="12" t="n">
        <v>14</v>
      </c>
      <c r="B43" s="12" t="n">
        <v>308</v>
      </c>
      <c r="C43" s="12" t="n">
        <f aca="false">B43-A43-5-8-8</f>
        <v>273</v>
      </c>
    </row>
    <row r="44" customFormat="false" ht="13.5" hidden="false" customHeight="true" outlineLevel="0" collapsed="false">
      <c r="A44" s="12" t="n">
        <v>14</v>
      </c>
      <c r="B44" s="12" t="n">
        <v>328</v>
      </c>
      <c r="C44" s="12" t="n">
        <f aca="false">B44-A44-5-8-8</f>
        <v>293</v>
      </c>
    </row>
    <row r="45" customFormat="false" ht="13.5" hidden="false" customHeight="true" outlineLevel="0" collapsed="false">
      <c r="A45" s="12" t="n">
        <v>14</v>
      </c>
      <c r="B45" s="12" t="n">
        <v>281</v>
      </c>
      <c r="C45" s="12" t="n">
        <f aca="false">B45-A45-5-8-8</f>
        <v>246</v>
      </c>
    </row>
    <row r="46" customFormat="false" ht="13.5" hidden="false" customHeight="true" outlineLevel="0" collapsed="false">
      <c r="A46" s="12" t="n">
        <v>14</v>
      </c>
      <c r="B46" s="12" t="n">
        <v>298</v>
      </c>
      <c r="C46" s="12" t="n">
        <f aca="false">B46-A46-5-8-8</f>
        <v>263</v>
      </c>
    </row>
    <row r="47" customFormat="false" ht="13.5" hidden="false" customHeight="true" outlineLevel="0" collapsed="false">
      <c r="A47" s="12" t="n">
        <v>13</v>
      </c>
      <c r="B47" s="12" t="n">
        <v>314</v>
      </c>
      <c r="C47" s="12" t="n">
        <f aca="false">B47-A47-5-8-8</f>
        <v>280</v>
      </c>
    </row>
    <row r="48" customFormat="false" ht="13.5" hidden="false" customHeight="true" outlineLevel="0" collapsed="false">
      <c r="A48" s="12" t="n">
        <v>14</v>
      </c>
      <c r="B48" s="12" t="n">
        <v>273</v>
      </c>
      <c r="C48" s="12" t="n">
        <f aca="false">B48-A48-5-8-8</f>
        <v>238</v>
      </c>
    </row>
    <row r="49" customFormat="false" ht="13.5" hidden="false" customHeight="true" outlineLevel="0" collapsed="false">
      <c r="A49" s="12" t="n">
        <v>14</v>
      </c>
      <c r="B49" s="12" t="n">
        <v>313</v>
      </c>
      <c r="C49" s="12" t="n">
        <f aca="false">B49-A49-5-8-8</f>
        <v>278</v>
      </c>
    </row>
    <row r="50" customFormat="false" ht="13.5" hidden="false" customHeight="true" outlineLevel="0" collapsed="false">
      <c r="A50" s="12" t="n">
        <v>14</v>
      </c>
      <c r="B50" s="12" t="n">
        <v>286</v>
      </c>
      <c r="C50" s="12" t="n">
        <f aca="false">B50-A50-5-8-8</f>
        <v>251</v>
      </c>
    </row>
    <row r="51" customFormat="false" ht="13.5" hidden="false" customHeight="true" outlineLevel="0" collapsed="false">
      <c r="A51" s="12" t="n">
        <v>13</v>
      </c>
      <c r="B51" s="12" t="n">
        <v>308</v>
      </c>
      <c r="C51" s="12" t="n">
        <f aca="false">B51-A51-5-8-8</f>
        <v>274</v>
      </c>
    </row>
    <row r="52" customFormat="false" ht="13.5" hidden="false" customHeight="true" outlineLevel="0" collapsed="false">
      <c r="A52" s="12" t="n">
        <v>13</v>
      </c>
      <c r="B52" s="12" t="n">
        <v>290</v>
      </c>
      <c r="C52" s="12" t="n">
        <f aca="false">B52-A52-5-8-8</f>
        <v>256</v>
      </c>
    </row>
    <row r="53" customFormat="false" ht="13.5" hidden="false" customHeight="true" outlineLevel="0" collapsed="false">
      <c r="A53" s="12" t="n">
        <v>13</v>
      </c>
      <c r="B53" s="12" t="n">
        <v>308</v>
      </c>
      <c r="C53" s="12" t="n">
        <f aca="false">B53-A53-5-8-8</f>
        <v>274</v>
      </c>
    </row>
    <row r="54" customFormat="false" ht="13.5" hidden="false" customHeight="true" outlineLevel="0" collapsed="false">
      <c r="A54" s="12" t="n">
        <v>13</v>
      </c>
      <c r="B54" s="12" t="n">
        <v>319</v>
      </c>
      <c r="C54" s="12" t="n">
        <f aca="false">B54-A54-5-8-8</f>
        <v>285</v>
      </c>
    </row>
    <row r="55" customFormat="false" ht="13.5" hidden="false" customHeight="true" outlineLevel="0" collapsed="false">
      <c r="A55" s="12" t="n">
        <v>13</v>
      </c>
      <c r="B55" s="12" t="n">
        <v>284</v>
      </c>
      <c r="C55" s="12" t="n">
        <f aca="false">B55-A55-5-8-8</f>
        <v>250</v>
      </c>
    </row>
    <row r="56" customFormat="false" ht="13.5" hidden="false" customHeight="true" outlineLevel="0" collapsed="false">
      <c r="A56" s="12" t="n">
        <v>13</v>
      </c>
      <c r="B56" s="12" t="n">
        <v>317</v>
      </c>
      <c r="C56" s="12" t="n">
        <f aca="false">B56-A56-5-8-8</f>
        <v>283</v>
      </c>
    </row>
    <row r="57" customFormat="false" ht="13.5" hidden="false" customHeight="true" outlineLevel="0" collapsed="false">
      <c r="A57" s="12" t="n">
        <v>14</v>
      </c>
      <c r="B57" s="12" t="n">
        <v>287</v>
      </c>
      <c r="C57" s="12" t="n">
        <f aca="false">B57-A57-5-8-8</f>
        <v>252</v>
      </c>
    </row>
    <row r="58" customFormat="false" ht="13.5" hidden="false" customHeight="true" outlineLevel="0" collapsed="false">
      <c r="A58" s="12" t="n">
        <v>14</v>
      </c>
      <c r="B58" s="12" t="n">
        <v>319</v>
      </c>
      <c r="C58" s="12" t="n">
        <f aca="false">B58-A58-5-8-8</f>
        <v>284</v>
      </c>
    </row>
    <row r="59" customFormat="false" ht="13.5" hidden="false" customHeight="true" outlineLevel="0" collapsed="false">
      <c r="A59" s="12" t="n">
        <v>14</v>
      </c>
      <c r="B59" s="12" t="n">
        <v>304</v>
      </c>
      <c r="C59" s="12" t="n">
        <f aca="false">B59-A59-5-8-8</f>
        <v>269</v>
      </c>
    </row>
    <row r="60" customFormat="false" ht="13.5" hidden="false" customHeight="true" outlineLevel="0" collapsed="false">
      <c r="A60" s="12" t="n">
        <v>13</v>
      </c>
      <c r="B60" s="12" t="n">
        <v>295</v>
      </c>
      <c r="C60" s="12" t="n">
        <f aca="false">B60-A60-5-8-8</f>
        <v>261</v>
      </c>
    </row>
    <row r="61" customFormat="false" ht="13.5" hidden="false" customHeight="true" outlineLevel="0" collapsed="false">
      <c r="A61" s="12" t="n">
        <v>14</v>
      </c>
      <c r="B61" s="12" t="n">
        <v>305</v>
      </c>
      <c r="C61" s="12" t="n">
        <f aca="false">B61-A61-5-8-8</f>
        <v>270</v>
      </c>
    </row>
    <row r="62" customFormat="false" ht="13.5" hidden="false" customHeight="true" outlineLevel="0" collapsed="false">
      <c r="A62" s="12" t="n">
        <v>13</v>
      </c>
      <c r="B62" s="12" t="n">
        <v>305</v>
      </c>
      <c r="C62" s="12" t="n">
        <f aca="false">B62-A62-5-8-8</f>
        <v>271</v>
      </c>
    </row>
    <row r="63" customFormat="false" ht="13.5" hidden="false" customHeight="true" outlineLevel="0" collapsed="false">
      <c r="A63" s="12" t="n">
        <v>14</v>
      </c>
      <c r="B63" s="12" t="n">
        <v>279</v>
      </c>
      <c r="C63" s="12" t="n">
        <f aca="false">B63-A63-5-8-8</f>
        <v>244</v>
      </c>
    </row>
    <row r="64" customFormat="false" ht="13.5" hidden="false" customHeight="true" outlineLevel="0" collapsed="false">
      <c r="A64" s="12" t="n">
        <v>13</v>
      </c>
      <c r="B64" s="12" t="n">
        <v>299</v>
      </c>
      <c r="C64" s="12" t="n">
        <f aca="false">B64-A64-5-8-8</f>
        <v>265</v>
      </c>
    </row>
    <row r="65" customFormat="false" ht="13.5" hidden="false" customHeight="true" outlineLevel="0" collapsed="false">
      <c r="A65" s="12" t="n">
        <v>13</v>
      </c>
      <c r="B65" s="12" t="n">
        <v>278</v>
      </c>
      <c r="C65" s="12" t="n">
        <f aca="false">B65-A65-5-8-8</f>
        <v>244</v>
      </c>
    </row>
    <row r="66" customFormat="false" ht="13.5" hidden="false" customHeight="true" outlineLevel="0" collapsed="false">
      <c r="A66" s="12" t="n">
        <v>14</v>
      </c>
      <c r="B66" s="12" t="n">
        <v>309</v>
      </c>
      <c r="C66" s="12" t="n">
        <f aca="false">B66-A66-5-8-8</f>
        <v>274</v>
      </c>
    </row>
    <row r="67" customFormat="false" ht="13.5" hidden="false" customHeight="true" outlineLevel="0" collapsed="false">
      <c r="A67" s="12" t="n">
        <v>14</v>
      </c>
      <c r="B67" s="12" t="n">
        <v>295</v>
      </c>
      <c r="C67" s="12" t="n">
        <f aca="false">B67-A67-5-8-8</f>
        <v>260</v>
      </c>
    </row>
    <row r="68" customFormat="false" ht="13.5" hidden="false" customHeight="true" outlineLevel="0" collapsed="false">
      <c r="A68" s="12" t="n">
        <v>13</v>
      </c>
      <c r="B68" s="12" t="n">
        <v>300</v>
      </c>
      <c r="C68" s="12" t="n">
        <f aca="false">B68-A68-5-8-8</f>
        <v>266</v>
      </c>
    </row>
    <row r="69" customFormat="false" ht="13.5" hidden="false" customHeight="true" outlineLevel="0" collapsed="false">
      <c r="A69" s="12" t="n">
        <v>13</v>
      </c>
      <c r="B69" s="12" t="n">
        <v>319</v>
      </c>
      <c r="C69" s="12" t="n">
        <f aca="false">B69-A69-5-8-8</f>
        <v>285</v>
      </c>
    </row>
    <row r="70" customFormat="false" ht="13.5" hidden="false" customHeight="true" outlineLevel="0" collapsed="false">
      <c r="A70" s="12" t="n">
        <v>13</v>
      </c>
      <c r="B70" s="12" t="n">
        <v>310</v>
      </c>
      <c r="C70" s="12" t="n">
        <f aca="false">B70-A70-5-8-8</f>
        <v>276</v>
      </c>
    </row>
    <row r="71" customFormat="false" ht="13.5" hidden="false" customHeight="true" outlineLevel="0" collapsed="false">
      <c r="A71" s="12" t="n">
        <v>14</v>
      </c>
      <c r="B71" s="12" t="n">
        <v>313</v>
      </c>
      <c r="C71" s="12" t="n">
        <f aca="false">B71-A71-5-8-8</f>
        <v>278</v>
      </c>
    </row>
    <row r="72" customFormat="false" ht="13.5" hidden="false" customHeight="true" outlineLevel="0" collapsed="false">
      <c r="A72" s="12" t="n">
        <v>14</v>
      </c>
      <c r="B72" s="12" t="n">
        <v>287</v>
      </c>
      <c r="C72" s="12" t="n">
        <f aca="false">B72-A72-5-8-8</f>
        <v>252</v>
      </c>
    </row>
    <row r="73" customFormat="false" ht="13.5" hidden="false" customHeight="true" outlineLevel="0" collapsed="false">
      <c r="A73" s="12" t="n">
        <v>14</v>
      </c>
      <c r="B73" s="12" t="n">
        <v>321</v>
      </c>
      <c r="C73" s="12" t="n">
        <f aca="false">B73-A73-5-8-8</f>
        <v>286</v>
      </c>
    </row>
    <row r="74" customFormat="false" ht="13.5" hidden="false" customHeight="true" outlineLevel="0" collapsed="false">
      <c r="A74" s="12" t="n">
        <v>13</v>
      </c>
      <c r="B74" s="12" t="n">
        <v>291</v>
      </c>
      <c r="C74" s="12" t="n">
        <f aca="false">B74-A74-5-8-8</f>
        <v>257</v>
      </c>
    </row>
    <row r="75" customFormat="false" ht="13.5" hidden="false" customHeight="true" outlineLevel="0" collapsed="false">
      <c r="A75" s="12" t="n">
        <v>14</v>
      </c>
      <c r="B75" s="12" t="n">
        <v>295</v>
      </c>
      <c r="C75" s="12" t="n">
        <f aca="false">B75-A75-5-8-8</f>
        <v>260</v>
      </c>
    </row>
    <row r="76" customFormat="false" ht="13.5" hidden="false" customHeight="true" outlineLevel="0" collapsed="false">
      <c r="A76" s="12" t="n">
        <v>14</v>
      </c>
      <c r="B76" s="12" t="n">
        <v>315</v>
      </c>
      <c r="C76" s="12" t="n">
        <f aca="false">B76-A76-5-8-8</f>
        <v>280</v>
      </c>
    </row>
    <row r="77" customFormat="false" ht="13.5" hidden="false" customHeight="true" outlineLevel="0" collapsed="false">
      <c r="A77" s="12" t="n">
        <v>13</v>
      </c>
      <c r="B77" s="12" t="n">
        <v>303</v>
      </c>
      <c r="C77" s="12" t="n">
        <f aca="false">B77-A77-5-8-8</f>
        <v>269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3" activeCellId="0" sqref="D23"/>
    </sheetView>
  </sheetViews>
  <sheetFormatPr defaultColWidth="8.59765625" defaultRowHeight="13.5" zeroHeight="false" outlineLevelRow="0" outlineLevelCol="0"/>
  <cols>
    <col collapsed="false" customWidth="true" hidden="false" outlineLevel="0" max="1" min="1" style="12" width="14.44"/>
  </cols>
  <sheetData>
    <row r="1" customFormat="false" ht="13.5" hidden="false" customHeight="true" outlineLevel="0" collapsed="false">
      <c r="A1" s="13" t="s">
        <v>43</v>
      </c>
      <c r="B1" s="12" t="n">
        <v>2.6</v>
      </c>
      <c r="C1" s="12" t="n">
        <v>2.65</v>
      </c>
    </row>
    <row r="2" customFormat="false" ht="13.5" hidden="false" customHeight="true" outlineLevel="0" collapsed="false">
      <c r="A2" s="13" t="s">
        <v>44</v>
      </c>
      <c r="B2" s="12" t="n">
        <v>9217</v>
      </c>
      <c r="C2" s="12" t="n">
        <v>9217</v>
      </c>
    </row>
    <row r="3" customFormat="false" ht="13.5" hidden="false" customHeight="true" outlineLevel="0" collapsed="false">
      <c r="A3" s="13" t="s">
        <v>45</v>
      </c>
      <c r="B3" s="12" t="n">
        <f aca="false">ROUND(B2*0.45,0)</f>
        <v>4148</v>
      </c>
      <c r="C3" s="12" t="n">
        <f aca="false">ROUND(C2*0.45,0)</f>
        <v>4148</v>
      </c>
    </row>
    <row r="4" customFormat="false" ht="13.5" hidden="false" customHeight="true" outlineLevel="0" collapsed="false">
      <c r="A4" s="13" t="s">
        <v>46</v>
      </c>
      <c r="B4" s="12" t="n">
        <f aca="false">ROUND(B3*B1,0)</f>
        <v>10785</v>
      </c>
      <c r="C4" s="12" t="n">
        <f aca="false">ROUND(C3*B1,0)</f>
        <v>10785</v>
      </c>
    </row>
    <row r="6" customFormat="false" ht="13.5" hidden="false" customHeight="true" outlineLevel="0" collapsed="false">
      <c r="A6" s="13" t="s">
        <v>47</v>
      </c>
      <c r="B6" s="12" t="n">
        <v>7621</v>
      </c>
      <c r="C6" s="12" t="n">
        <v>7621</v>
      </c>
    </row>
    <row r="7" customFormat="false" ht="13.5" hidden="false" customHeight="true" outlineLevel="0" collapsed="false">
      <c r="A7" s="13" t="s">
        <v>48</v>
      </c>
      <c r="B7" s="12" t="n">
        <f aca="false">B6+B4</f>
        <v>18406</v>
      </c>
      <c r="C7" s="12" t="n">
        <f aca="false">C6+C4</f>
        <v>18406</v>
      </c>
    </row>
    <row r="8" customFormat="false" ht="13.5" hidden="false" customHeight="true" outlineLevel="0" collapsed="false">
      <c r="A8" s="13" t="s">
        <v>49</v>
      </c>
      <c r="B8" s="12" t="n">
        <f aca="false">ROUND(B7*0.3,0)</f>
        <v>5522</v>
      </c>
      <c r="C8" s="12" t="n">
        <f aca="false">ROUND(B7*0.3,0)</f>
        <v>5522</v>
      </c>
    </row>
    <row r="9" customFormat="false" ht="13.5" hidden="false" customHeight="true" outlineLevel="0" collapsed="false">
      <c r="A9" s="13" t="s">
        <v>50</v>
      </c>
      <c r="B9" s="12" t="n">
        <f aca="false">ROUND(B8*B1,0)</f>
        <v>14357</v>
      </c>
      <c r="C9" s="12" t="n">
        <f aca="false">ROUND(C8*B1,0)</f>
        <v>14357</v>
      </c>
    </row>
    <row r="10" customFormat="false" ht="13.5" hidden="false" customHeight="true" outlineLevel="0" collapsed="false">
      <c r="A10" s="13" t="s">
        <v>51</v>
      </c>
      <c r="B10" s="12" t="n">
        <f aca="false">B7+B9</f>
        <v>32763</v>
      </c>
      <c r="C10" s="12" t="n">
        <f aca="false">C7+C9</f>
        <v>32763</v>
      </c>
    </row>
    <row r="11" customFormat="false" ht="13.5" hidden="false" customHeight="true" outlineLevel="0" collapsed="false">
      <c r="A11" s="13" t="s">
        <v>52</v>
      </c>
      <c r="B11" s="12" t="n">
        <f aca="false">ROUND(B10*0.3+5,0)</f>
        <v>9834</v>
      </c>
      <c r="C11" s="12" t="n">
        <f aca="false">ROUND(C10*0.3+5,0)</f>
        <v>9834</v>
      </c>
    </row>
    <row r="12" customFormat="false" ht="13.5" hidden="false" customHeight="true" outlineLevel="0" collapsed="false">
      <c r="A12" s="13" t="s">
        <v>53</v>
      </c>
      <c r="B12" s="12" t="n">
        <f aca="false">ROUND(B11*B1,0)</f>
        <v>25568</v>
      </c>
      <c r="C12" s="12" t="n">
        <f aca="false">ROUND(C11*C1,0)</f>
        <v>26060</v>
      </c>
    </row>
    <row r="14" customFormat="false" ht="13.5" hidden="false" customHeight="true" outlineLevel="0" collapsed="false">
      <c r="A14" s="13" t="s">
        <v>54</v>
      </c>
      <c r="B14" s="12" t="n">
        <v>10187</v>
      </c>
      <c r="C14" s="12" t="n">
        <v>10187</v>
      </c>
    </row>
    <row r="15" customFormat="false" ht="13.5" hidden="false" customHeight="true" outlineLevel="0" collapsed="false">
      <c r="A15" s="13" t="s">
        <v>55</v>
      </c>
      <c r="B15" s="12" t="n">
        <f aca="false">B14+B4</f>
        <v>20972</v>
      </c>
      <c r="C15" s="12" t="n">
        <f aca="false">C14+C4</f>
        <v>20972</v>
      </c>
    </row>
    <row r="16" customFormat="false" ht="13.5" hidden="false" customHeight="true" outlineLevel="0" collapsed="false">
      <c r="A16" s="13" t="s">
        <v>56</v>
      </c>
      <c r="B16" s="12" t="n">
        <f aca="false">ROUND(B15*1.2,0)</f>
        <v>25166</v>
      </c>
      <c r="C16" s="12" t="n">
        <f aca="false">ROUND(B15*1.2,0)</f>
        <v>25166</v>
      </c>
    </row>
    <row r="17" customFormat="false" ht="13.5" hidden="false" customHeight="true" outlineLevel="0" collapsed="false">
      <c r="A17" s="13" t="s">
        <v>57</v>
      </c>
      <c r="B17" s="12" t="n">
        <f aca="false">ROUND(B16*B1,0)</f>
        <v>65432</v>
      </c>
      <c r="C17" s="12" t="n">
        <f aca="false">ROUND(C16*B1,0)</f>
        <v>65432</v>
      </c>
    </row>
    <row r="18" customFormat="false" ht="13.5" hidden="false" customHeight="true" outlineLevel="0" collapsed="false">
      <c r="A18" s="13" t="s">
        <v>54</v>
      </c>
      <c r="B18" s="12" t="n">
        <f aca="false">B17+B12+B4+B14</f>
        <v>111972</v>
      </c>
      <c r="C18" s="12" t="n">
        <f aca="false">C17+C12+C4+C14</f>
        <v>112464</v>
      </c>
    </row>
    <row r="19" customFormat="false" ht="13.5" hidden="false" customHeight="true" outlineLevel="0" collapsed="false">
      <c r="A19" s="13" t="s">
        <v>58</v>
      </c>
      <c r="B19" s="12" t="n">
        <f aca="false">ROUND(B18*1.5,0)</f>
        <v>167958</v>
      </c>
      <c r="C19" s="12" t="n">
        <f aca="false">ROUND(C18*1.5,0)</f>
        <v>168696</v>
      </c>
    </row>
    <row r="20" customFormat="false" ht="13.5" hidden="false" customHeight="true" outlineLevel="0" collapsed="false">
      <c r="A20" s="13" t="s">
        <v>59</v>
      </c>
      <c r="B20" s="12" t="n">
        <f aca="false">ROUND(B19*1.1+1,0)</f>
        <v>184755</v>
      </c>
      <c r="C20" s="12" t="n">
        <f aca="false">ROUND(C19*1.1+1,0)</f>
        <v>185567</v>
      </c>
    </row>
    <row r="21" customFormat="false" ht="16.5" hidden="false" customHeight="true" outlineLevel="0" collapsed="false">
      <c r="A21" s="13" t="s">
        <v>60</v>
      </c>
      <c r="B21" s="12" t="n">
        <f aca="false">ROUND(B20*B1,0)</f>
        <v>480363</v>
      </c>
      <c r="C21" s="12" t="n">
        <f aca="false">ROUND(C20*C1,0)</f>
        <v>491753</v>
      </c>
    </row>
    <row r="22" customFormat="false" ht="13.5" hidden="false" customHeight="true" outlineLevel="0" collapsed="false">
      <c r="A22" s="13" t="s">
        <v>61</v>
      </c>
      <c r="B22" s="12" t="n">
        <f aca="false">ROUND(B21*1.01,0)</f>
        <v>485167</v>
      </c>
      <c r="C22" s="12" t="n">
        <f aca="false">ROUND(C21*1.01,0)</f>
        <v>496671</v>
      </c>
    </row>
    <row r="23" customFormat="false" ht="13.5" hidden="false" customHeight="true" outlineLevel="0" collapsed="false">
      <c r="A23" s="13" t="s">
        <v>62</v>
      </c>
      <c r="B23" s="12" t="n">
        <f aca="false">ROUND(B22*1.1,0)</f>
        <v>533684</v>
      </c>
      <c r="C23" s="12" t="n">
        <f aca="false">ROUND(C22*1.1,0)</f>
        <v>546338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Joy Jam</dc:creator>
  <dc:description/>
  <dc:language>en-US</dc:language>
  <cp:lastModifiedBy/>
  <dcterms:modified xsi:type="dcterms:W3CDTF">2026-06-21T23:40:39Z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